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-Waste Input" sheetId="1" state="visible" r:id="rId3"/>
    <sheet name="2-Financial Inputs" sheetId="2" state="visible" r:id="rId4"/>
    <sheet name="3-Operations" sheetId="3" state="visible" r:id="rId5"/>
    <sheet name="4-Production Calcs" sheetId="4" state="visible" r:id="rId6"/>
    <sheet name="CAPEX" sheetId="5" state="visible" r:id="rId7"/>
    <sheet name="Revenue" sheetId="6" state="visible" r:id="rId8"/>
    <sheet name="OPEX" sheetId="7" state="visible" r:id="rId9"/>
    <sheet name="Amortization" sheetId="8" state="visible" r:id="rId10"/>
    <sheet name="P&amp;L Consolidated" sheetId="9" state="visible" r:id="rId11"/>
    <sheet name="P&amp;L Pre-Sorting" sheetId="10" state="visible" r:id="rId12"/>
    <sheet name="P&amp;L Core Processing" sheetId="11" state="visible" r:id="rId13"/>
    <sheet name="P&amp;L Post-Sorting" sheetId="12" state="visible" r:id="rId14"/>
    <sheet name="Cash Flow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<sst xmlns="http://schemas.openxmlformats.org/spreadsheetml/2006/main" count="1076" uniqueCount="842">
  <si>
    <t xml:space="preserve">URBAN RIG — Waste Input &amp; Composition (V2)</t>
  </si>
  <si>
    <t xml:space="preserve">Defines all incoming waste characteristics. Blue cells = user inputs.</t>
  </si>
  <si>
    <t xml:space="preserve">Ref</t>
  </si>
  <si>
    <t xml:space="preserve">Parameter</t>
  </si>
  <si>
    <t xml:space="preserve">Value</t>
  </si>
  <si>
    <t xml:space="preserve">Unit</t>
  </si>
  <si>
    <t xml:space="preserve">Source / Notes</t>
  </si>
  <si>
    <t xml:space="preserve">A — MACHINE &amp; CAPACITY</t>
  </si>
  <si>
    <t xml:space="preserve">A1</t>
  </si>
  <si>
    <t xml:space="preserve">Machine nominal capacity</t>
  </si>
  <si>
    <t xml:space="preserve">T/day (volumetric)</t>
  </si>
  <si>
    <t xml:space="preserve">Urban Rig URC-2000 spec</t>
  </si>
  <si>
    <t xml:space="preserve">A2</t>
  </si>
  <si>
    <t xml:space="preserve">Waste bulk density (volume to weight)</t>
  </si>
  <si>
    <t xml:space="preserve">T/m³</t>
  </si>
  <si>
    <t xml:space="preserve">Typical MSW. Airport/industrial may differ.</t>
  </si>
  <si>
    <t xml:space="preserve">A3</t>
  </si>
  <si>
    <t xml:space="preserve">Daily waste input (actual weight)</t>
  </si>
  <si>
    <t xml:space="preserve">T/day</t>
  </si>
  <si>
    <t xml:space="preserve">Derived: nominal × density</t>
  </si>
  <si>
    <t xml:space="preserve">A4</t>
  </si>
  <si>
    <t xml:space="preserve">Number of URC-2000 units</t>
  </si>
  <si>
    <t xml:space="preserve">units</t>
  </si>
  <si>
    <t xml:space="preserve">Default 1. Scale by adding units.</t>
  </si>
  <si>
    <t xml:space="preserve">A5</t>
  </si>
  <si>
    <t xml:space="preserve">Operating days per year</t>
  </si>
  <si>
    <t xml:space="preserve">days/year</t>
  </si>
  <si>
    <t xml:space="preserve">~90% uptime. 35 days maintenance.</t>
  </si>
  <si>
    <t xml:space="preserve">A6</t>
  </si>
  <si>
    <t xml:space="preserve">Annual throughput (per unit)</t>
  </si>
  <si>
    <t xml:space="preserve">T/year</t>
  </si>
  <si>
    <t xml:space="preserve">Derived: daily × operating days</t>
  </si>
  <si>
    <t xml:space="preserve">A7</t>
  </si>
  <si>
    <t xml:space="preserve">Total annual throughput (all units)</t>
  </si>
  <si>
    <t xml:space="preserve">Derived: per unit × number of units</t>
  </si>
  <si>
    <t xml:space="preserve">B — GENERAL WASTE COMPOSITION (as received)</t>
  </si>
  <si>
    <t xml:space="preserve">B1</t>
  </si>
  <si>
    <t xml:space="preserve">Plastic fraction</t>
  </si>
  <si>
    <t xml:space="preserve">Typical MSW ~30%. Airport/industrial higher.</t>
  </si>
  <si>
    <t xml:space="preserve">B2</t>
  </si>
  <si>
    <t xml:space="preserve">Organic + cellulose fraction</t>
  </si>
  <si>
    <t xml:space="preserve">Food, paper, wood, cotton, garden waste.</t>
  </si>
  <si>
    <t xml:space="preserve">B3</t>
  </si>
  <si>
    <t xml:space="preserve">Metal fraction (total)</t>
  </si>
  <si>
    <t xml:space="preserve">Ferrous + aluminium + other metals.</t>
  </si>
  <si>
    <t xml:space="preserve">B4</t>
  </si>
  <si>
    <t xml:space="preserve">Glass fraction</t>
  </si>
  <si>
    <t xml:space="preserve">Bottles, jars, flat glass.</t>
  </si>
  <si>
    <t xml:space="preserve">B5</t>
  </si>
  <si>
    <t xml:space="preserve">Mineral inerts (ceramic, stone, soil)</t>
  </si>
  <si>
    <t xml:space="preserve">Non-combustible, non-recyclable.</t>
  </si>
  <si>
    <t xml:space="preserve">B6</t>
  </si>
  <si>
    <t xml:space="preserve">Moisture content</t>
  </si>
  <si>
    <t xml:space="preserve">Varies by source. MSW 25-35%, pre-dried 5-10%.</t>
  </si>
  <si>
    <t xml:space="preserve">B7</t>
  </si>
  <si>
    <t xml:space="preserve">Other / unclassified</t>
  </si>
  <si>
    <t xml:space="preserve">Residual balance. Should be ≥0.</t>
  </si>
  <si>
    <t xml:space="preserve">Composition check</t>
  </si>
  <si>
    <t xml:space="preserve">B2 — METAL BREAKDOWN (% of total metal fraction)</t>
  </si>
  <si>
    <t xml:space="preserve">B2.1</t>
  </si>
  <si>
    <t xml:space="preserve">Ferrous (% of metals)</t>
  </si>
  <si>
    <t xml:space="preserve">Steel, iron. Dominant in MSW.</t>
  </si>
  <si>
    <t xml:space="preserve">B2.2</t>
  </si>
  <si>
    <t xml:space="preserve">Aluminium (% of metals)</t>
  </si>
  <si>
    <t xml:space="preserve">Cans, foil, profiles.</t>
  </si>
  <si>
    <t xml:space="preserve">B2.3</t>
  </si>
  <si>
    <t xml:space="preserve">Other metals (% of metals)</t>
  </si>
  <si>
    <t xml:space="preserve">Copper, zinc, etc.</t>
  </si>
  <si>
    <t xml:space="preserve">C — PLASTIC POLYMER MIX</t>
  </si>
  <si>
    <t xml:space="preserve">Polymer</t>
  </si>
  <si>
    <t xml:space="preserve">Mix %</t>
  </si>
  <si>
    <t xml:space="preserve">Oil yield (wt%)</t>
  </si>
  <si>
    <t xml:space="preserve">Off-gas yield (wt%)</t>
  </si>
  <si>
    <t xml:space="preserve">Residue (wt%)</t>
  </si>
  <si>
    <t xml:space="preserve">Off-gas CV (MJ/kg)</t>
  </si>
  <si>
    <t xml:space="preserve">Source</t>
  </si>
  <si>
    <t xml:space="preserve">C1</t>
  </si>
  <si>
    <t xml:space="preserve">LDPE</t>
  </si>
  <si>
    <t xml:space="preserve">Ichimura test data</t>
  </si>
  <si>
    <t xml:space="preserve">C2</t>
  </si>
  <si>
    <t xml:space="preserve">HDPE</t>
  </si>
  <si>
    <t xml:space="preserve">C3</t>
  </si>
  <si>
    <t xml:space="preserve">PP</t>
  </si>
  <si>
    <t xml:space="preserve">Ichimura test #6</t>
  </si>
  <si>
    <t xml:space="preserve">C4</t>
  </si>
  <si>
    <t xml:space="preserve">PET</t>
  </si>
  <si>
    <t xml:space="preserve">Literature — HYPOTHESIS</t>
  </si>
  <si>
    <t xml:space="preserve">C5</t>
  </si>
  <si>
    <t xml:space="preserve">PS</t>
  </si>
  <si>
    <t xml:space="preserve">Ichimura tests #3/#4</t>
  </si>
  <si>
    <t xml:space="preserve">C6</t>
  </si>
  <si>
    <t xml:space="preserve">PVC</t>
  </si>
  <si>
    <t xml:space="preserve">C7</t>
  </si>
  <si>
    <t xml:space="preserve">ABS</t>
  </si>
  <si>
    <t xml:space="preserve">C8</t>
  </si>
  <si>
    <t xml:space="preserve">Other</t>
  </si>
  <si>
    <t xml:space="preserve">Catch-all — HYPOTHESIS</t>
  </si>
  <si>
    <t xml:space="preserve">TOTAL</t>
  </si>
  <si>
    <t xml:space="preserve">Mix check</t>
  </si>
  <si>
    <t xml:space="preserve">D — CONVERSION PARAMETERS</t>
  </si>
  <si>
    <t xml:space="preserve">D1</t>
  </si>
  <si>
    <t xml:space="preserve">Char yield from organic+cellulose fraction</t>
  </si>
  <si>
    <t xml:space="preserve">wt%</t>
  </si>
  <si>
    <t xml:space="preserve">Annex F §11.2. HYPOTHESIS — not UR-measured.</t>
  </si>
  <si>
    <t xml:space="preserve">D2</t>
  </si>
  <si>
    <t xml:space="preserve">Oil density</t>
  </si>
  <si>
    <t xml:space="preserve">kg/L</t>
  </si>
  <si>
    <t xml:space="preserve">Standard pyrolysis oil density.</t>
  </si>
  <si>
    <t xml:space="preserve">D3</t>
  </si>
  <si>
    <t xml:space="preserve">Off-gas energy from organic fraction</t>
  </si>
  <si>
    <t xml:space="preserve">MJ/kg</t>
  </si>
  <si>
    <t xml:space="preserve">Literature: 0.3-0.8 MJ/kg. NOT UR-measured.</t>
  </si>
  <si>
    <t xml:space="preserve">D4</t>
  </si>
  <si>
    <t xml:space="preserve">Char CV — organic/cellulose (MJ/kg)</t>
  </si>
  <si>
    <t xml:space="preserve">HYPOTHESIS. Literature: 11-20 MJ/kg.</t>
  </si>
  <si>
    <t xml:space="preserve">D5</t>
  </si>
  <si>
    <t xml:space="preserve">Char CV — plastic residue (MJ/kg)</t>
  </si>
  <si>
    <t xml:space="preserve">HYPOTHESIS. Carbon black ~32 MJ/kg.</t>
  </si>
  <si>
    <t xml:space="preserve">D6</t>
  </si>
  <si>
    <t xml:space="preserve">Heating demand per ton processed</t>
  </si>
  <si>
    <t xml:space="preserve">MJ/T</t>
  </si>
  <si>
    <t xml:space="preserve">10,000L diesel × 38 MJ/L ÷ 140 T/day.</t>
  </si>
  <si>
    <t xml:space="preserve">D7</t>
  </si>
  <si>
    <t xml:space="preserve">Waste rejection rate (unsuitable for processing)</t>
  </si>
  <si>
    <t xml:space="preserve">Oversize, hazardous, non-processable.</t>
  </si>
  <si>
    <t xml:space="preserve">E — WEIGHTED YIELDS (calculated from polymer mix)</t>
  </si>
  <si>
    <t xml:space="preserve">E1</t>
  </si>
  <si>
    <t xml:space="preserve">Weighted oil yield from plastic (wt%)</t>
  </si>
  <si>
    <t xml:space="preserve">Derived from mix × yield per polymer</t>
  </si>
  <si>
    <t xml:space="preserve">E2</t>
  </si>
  <si>
    <t xml:space="preserve">Weighted off-gas yield from plastic (wt%)</t>
  </si>
  <si>
    <t xml:space="preserve">Derived</t>
  </si>
  <si>
    <t xml:space="preserve">E3</t>
  </si>
  <si>
    <t xml:space="preserve">Weighted residue from plastic (wt%)</t>
  </si>
  <si>
    <t xml:space="preserve">E4</t>
  </si>
  <si>
    <t xml:space="preserve">Weighted off-gas CV (MJ/kg)</t>
  </si>
  <si>
    <t xml:space="preserve">E5</t>
  </si>
  <si>
    <t xml:space="preserve">Off-gas energy per kg plastic (MJ/kg)</t>
  </si>
  <si>
    <t xml:space="preserve">yield × CV</t>
  </si>
  <si>
    <t xml:space="preserve">URBAN RIG — Financial &amp; Market Inputs (V2)</t>
  </si>
  <si>
    <t xml:space="preserve">All pricing, financing, and cost assumptions. Blue cells = user inputs.</t>
  </si>
  <si>
    <t xml:space="preserve">F — FINANCING STRUCTURE</t>
  </si>
  <si>
    <t xml:space="preserve">F1</t>
  </si>
  <si>
    <t xml:space="preserve">Bank loan percentage</t>
  </si>
  <si>
    <t xml:space="preserve">70% debt, 30% equity</t>
  </si>
  <si>
    <t xml:space="preserve">F2</t>
  </si>
  <si>
    <t xml:space="preserve">Annual interest rate</t>
  </si>
  <si>
    <t xml:space="preserve">Variable — adjust per project.</t>
  </si>
  <si>
    <t xml:space="preserve">F3</t>
  </si>
  <si>
    <t xml:space="preserve">Loan term</t>
  </si>
  <si>
    <t xml:space="preserve">years</t>
  </si>
  <si>
    <t xml:space="preserve">120 monthly payments</t>
  </si>
  <si>
    <t xml:space="preserve">F4</t>
  </si>
  <si>
    <t xml:space="preserve">Corporate tax rate</t>
  </si>
  <si>
    <t xml:space="preserve">France standard rate</t>
  </si>
  <si>
    <t xml:space="preserve">F5</t>
  </si>
  <si>
    <t xml:space="preserve">Depreciation period (straight-line)</t>
  </si>
  <si>
    <t xml:space="preserve">Equipment depreciation</t>
  </si>
  <si>
    <t xml:space="preserve">F6</t>
  </si>
  <si>
    <t xml:space="preserve">Annual inflation rate</t>
  </si>
  <si>
    <t xml:space="preserve">Applied to revenues and OPEX from Year 2</t>
  </si>
  <si>
    <t xml:space="preserve">F7</t>
  </si>
  <si>
    <t xml:space="preserve">Discount rate / WACC</t>
  </si>
  <si>
    <t xml:space="preserve">For NPV and IRR calculations</t>
  </si>
  <si>
    <t xml:space="preserve">F8</t>
  </si>
  <si>
    <t xml:space="preserve">Working capital (% of revenue)</t>
  </si>
  <si>
    <t xml:space="preserve">Receivables minus payables</t>
  </si>
  <si>
    <t xml:space="preserve">G — GATE FEES BY WASTE TYPE (EUR/T)</t>
  </si>
  <si>
    <t xml:space="preserve">G1</t>
  </si>
  <si>
    <t xml:space="preserve">Tier 1: MSW (municipal)</t>
  </si>
  <si>
    <t xml:space="preserve">EUR/T</t>
  </si>
  <si>
    <t xml:space="preserve">French incineration ~€131-140/T. Competitive at €100.</t>
  </si>
  <si>
    <t xml:space="preserve">G2</t>
  </si>
  <si>
    <t xml:space="preserve">Tier 2: Industrial / logistics waste</t>
  </si>
  <si>
    <t xml:space="preserve">Plastic-rich, higher value.</t>
  </si>
  <si>
    <t xml:space="preserve">G3</t>
  </si>
  <si>
    <t xml:space="preserve">Tier 3: Aircraft / aviation waste</t>
  </si>
  <si>
    <t xml:space="preserve">Biosecurity compliance premium.</t>
  </si>
  <si>
    <t xml:space="preserve">G4</t>
  </si>
  <si>
    <t xml:space="preserve">Tier 4: Composites (wind blades)</t>
  </si>
  <si>
    <t xml:space="preserve">No alternative. EU landfill ban 2030.</t>
  </si>
  <si>
    <t xml:space="preserve">G5</t>
  </si>
  <si>
    <t xml:space="preserve">Tier 5: Medical / DASRI waste</t>
  </si>
  <si>
    <t xml:space="preserve">Highest margin. Regulatory premium.</t>
  </si>
  <si>
    <t xml:space="preserve">G6</t>
  </si>
  <si>
    <t xml:space="preserve">Tier 6: Tyre waste</t>
  </si>
  <si>
    <t xml:space="preserve">Often low/zero (EPR-funded collection).</t>
  </si>
  <si>
    <t xml:space="preserve">G7</t>
  </si>
  <si>
    <t xml:space="preserve">Blended average gate fee (used in model)</t>
  </si>
  <si>
    <t xml:space="preserve">INPUT: Weighted average. Adjust per project.</t>
  </si>
  <si>
    <t xml:space="preserve">H — OIL FRACTION PRICING (EUR/T by quality grade)</t>
  </si>
  <si>
    <t xml:space="preserve">Fraction</t>
  </si>
  <si>
    <t xml:space="preserve">Share</t>
  </si>
  <si>
    <t xml:space="preserve">Low (EUR/T)</t>
  </si>
  <si>
    <t xml:space="preserve">Medium (EUR/T)</t>
  </si>
  <si>
    <t xml:space="preserve">High (EUR/T)</t>
  </si>
  <si>
    <t xml:space="preserve">H1</t>
  </si>
  <si>
    <t xml:space="preserve">Light Oil (Heating Oil / Naphtha)</t>
  </si>
  <si>
    <t xml:space="preserve">C5-C8 range. ~150°C zone.</t>
  </si>
  <si>
    <t xml:space="preserve">H2</t>
  </si>
  <si>
    <t xml:space="preserve">Gas Oil (Diesel)</t>
  </si>
  <si>
    <t xml:space="preserve">C8-C16 middle distillate. ~300°C zone. Main product.</t>
  </si>
  <si>
    <t xml:space="preserve">H3</t>
  </si>
  <si>
    <t xml:space="preserve">Heavy Oil (Fuel Oil / Waxes)</t>
  </si>
  <si>
    <t xml:space="preserve">C16+ waxes. ~450°C zone. Marine fuel or cracker feed.</t>
  </si>
  <si>
    <t xml:space="preserve">TOTAL share</t>
  </si>
  <si>
    <t xml:space="preserve">H — OIL SCENARIO SELECTION</t>
  </si>
  <si>
    <t xml:space="preserve">H4</t>
  </si>
  <si>
    <t xml:space="preserve">Oil price scenario (1=Low, 2=Medium, 3=High)</t>
  </si>
  <si>
    <t xml:space="preserve">Determines weighted oil price</t>
  </si>
  <si>
    <t xml:space="preserve">H5</t>
  </si>
  <si>
    <t xml:space="preserve">Weighted oil price (EUR/T)</t>
  </si>
  <si>
    <t xml:space="preserve">Derived from scenario selection</t>
  </si>
  <si>
    <t xml:space="preserve">H6</t>
  </si>
  <si>
    <t xml:space="preserve">Weighted oil price (EUR/L)</t>
  </si>
  <si>
    <t xml:space="preserve">EUR/L</t>
  </si>
  <si>
    <t xml:space="preserve">EUR/T × density / 1000</t>
  </si>
  <si>
    <t xml:space="preserve">Scenario summary:</t>
  </si>
  <si>
    <t xml:space="preserve">Low</t>
  </si>
  <si>
    <t xml:space="preserve">Medium</t>
  </si>
  <si>
    <t xml:space="preserve">High</t>
  </si>
  <si>
    <t xml:space="preserve">I — CHAR / SOLID OUTPUT PRICING (EUR/T by grade)</t>
  </si>
  <si>
    <t xml:space="preserve">I1</t>
  </si>
  <si>
    <t xml:space="preserve">SRF-grade char (cement kiln fuel)</t>
  </si>
  <si>
    <t xml:space="preserve">Low value. Requires NCV/Cl/Hg compliance.</t>
  </si>
  <si>
    <t xml:space="preserve">I2</t>
  </si>
  <si>
    <t xml:space="preserve">Fuel briquette char</t>
  </si>
  <si>
    <t xml:space="preserve">Pelletised, standardised CV.</t>
  </si>
  <si>
    <t xml:space="preserve">I3</t>
  </si>
  <si>
    <t xml:space="preserve">Agricultural biochar (if certified)</t>
  </si>
  <si>
    <t xml:space="preserve">Only for clean feedstock. Unlikely for MSW.</t>
  </si>
  <si>
    <t xml:space="preserve">I4</t>
  </si>
  <si>
    <t xml:space="preserve">Char grade used in model (1=SRF, 2=Briquette, 3=Biochar)</t>
  </si>
  <si>
    <t xml:space="preserve">Determines char sale price</t>
  </si>
  <si>
    <t xml:space="preserve">I5</t>
  </si>
  <si>
    <t xml:space="preserve">Char sale price (derived from grade)</t>
  </si>
  <si>
    <t xml:space="preserve">Derived from grade selection</t>
  </si>
  <si>
    <t xml:space="preserve">J — METAL PRICING (EUR/T by type)</t>
  </si>
  <si>
    <t xml:space="preserve">J1</t>
  </si>
  <si>
    <t xml:space="preserve">Ferrous scrap price</t>
  </si>
  <si>
    <t xml:space="preserve">Sorted ferrous. Market: €200-350/T.</t>
  </si>
  <si>
    <t xml:space="preserve">J2</t>
  </si>
  <si>
    <t xml:space="preserve">Aluminium scrap price</t>
  </si>
  <si>
    <t xml:space="preserve">Sorted aluminium. Market: €1,200-1,800/T.</t>
  </si>
  <si>
    <t xml:space="preserve">J3</t>
  </si>
  <si>
    <t xml:space="preserve">Other metals price</t>
  </si>
  <si>
    <t xml:space="preserve">J4</t>
  </si>
  <si>
    <t xml:space="preserve">Mixed unsorted metal price</t>
  </si>
  <si>
    <t xml:space="preserve">If no separation. Conservative.</t>
  </si>
  <si>
    <t xml:space="preserve">J5</t>
  </si>
  <si>
    <t xml:space="preserve">Glass cullet price (if sorted)</t>
  </si>
  <si>
    <t xml:space="preserve">Clean cullet. Negative if contaminated.</t>
  </si>
  <si>
    <t xml:space="preserve">K — DISPOSAL COSTS &amp; OTHER PRICES</t>
  </si>
  <si>
    <t xml:space="preserve">K1</t>
  </si>
  <si>
    <t xml:space="preserve">Non-recoverable residue disposal cost</t>
  </si>
  <si>
    <t xml:space="preserve">French landfill €80-140/T incl. TGAP.</t>
  </si>
  <si>
    <t xml:space="preserve">K2</t>
  </si>
  <si>
    <t xml:space="preserve">Heating oil / fuel purchase price</t>
  </si>
  <si>
    <t xml:space="preserve">V2: Used for reactor heating (all energy purchased externally).</t>
  </si>
  <si>
    <t xml:space="preserve">K3</t>
  </si>
  <si>
    <t xml:space="preserve">Electricity purchase price</t>
  </si>
  <si>
    <t xml:space="preserve">EUR/kWh</t>
  </si>
  <si>
    <t xml:space="preserve">Grid electricity cost.</t>
  </si>
  <si>
    <t xml:space="preserve">(removed — consolidated into K1 disposal cost)</t>
  </si>
  <si>
    <t xml:space="preserve">Ashes, sand, glass fines, non-sellable byproducts. User input.</t>
  </si>
  <si>
    <t xml:space="preserve">L — CARBON CREDITS</t>
  </si>
  <si>
    <t xml:space="preserve">L1</t>
  </si>
  <si>
    <t xml:space="preserve">Carbon credit price</t>
  </si>
  <si>
    <t xml:space="preserve">EUR/T CO₂</t>
  </si>
  <si>
    <t xml:space="preserve">EU ETS ~€50-80. VCS/Gold Standard lower.</t>
  </si>
  <si>
    <t xml:space="preserve">L2</t>
  </si>
  <si>
    <t xml:space="preserve">CO₂ per ton waste (incineration baseline)</t>
  </si>
  <si>
    <t xml:space="preserve">T CO₂/T waste</t>
  </si>
  <si>
    <t xml:space="preserve">IPCC standard for MSW incineration.</t>
  </si>
  <si>
    <t xml:space="preserve">L3</t>
  </si>
  <si>
    <t xml:space="preserve">CO₂ from diesel combustion</t>
  </si>
  <si>
    <t xml:space="preserve">kg CO₂/L</t>
  </si>
  <si>
    <t xml:space="preserve">ADEME/IPCC emission factor.</t>
  </si>
  <si>
    <t xml:space="preserve">M — OPERATING COST INPUTS</t>
  </si>
  <si>
    <t xml:space="preserve">M1</t>
  </si>
  <si>
    <t xml:space="preserve">Core plant operators (FTE)</t>
  </si>
  <si>
    <t xml:space="preserve">FTE</t>
  </si>
  <si>
    <t xml:space="preserve">24/7 shift coverage for reactor operations.</t>
  </si>
  <si>
    <t xml:space="preserve">M2</t>
  </si>
  <si>
    <t xml:space="preserve">Maintenance staff (FTE)</t>
  </si>
  <si>
    <t xml:space="preserve">Preventive + corrective maintenance.</t>
  </si>
  <si>
    <t xml:space="preserve">M3</t>
  </si>
  <si>
    <t xml:space="preserve">Management &amp; admin (FTE)</t>
  </si>
  <si>
    <t xml:space="preserve">Site manager, admin, HSE.</t>
  </si>
  <si>
    <t xml:space="preserve">M4</t>
  </si>
  <si>
    <t xml:space="preserve">Average loaded cost per FTE</t>
  </si>
  <si>
    <t xml:space="preserve">EUR/year</t>
  </si>
  <si>
    <t xml:space="preserve">Salary + social charges + benefits.</t>
  </si>
  <si>
    <t xml:space="preserve">M5</t>
  </si>
  <si>
    <t xml:space="preserve">Pre-sorting additional staff (FTE)</t>
  </si>
  <si>
    <t xml:space="preserve">Only applies if pre-sorting active.</t>
  </si>
  <si>
    <t xml:space="preserve">M6</t>
  </si>
  <si>
    <t xml:space="preserve">Post-sorting additional staff (FTE)</t>
  </si>
  <si>
    <t xml:space="preserve">Only applies if post-sorting active.</t>
  </si>
  <si>
    <t xml:space="preserve">M7</t>
  </si>
  <si>
    <t xml:space="preserve">Maintenance as % of equipment CAPEX</t>
  </si>
  <si>
    <t xml:space="preserve">4% of machine cost per year.</t>
  </si>
  <si>
    <t xml:space="preserve">M8</t>
  </si>
  <si>
    <t xml:space="preserve">Contingency / other OPEX</t>
  </si>
  <si>
    <t xml:space="preserve">2% of total CAPEX as annual provision.</t>
  </si>
  <si>
    <t xml:space="preserve">M9</t>
  </si>
  <si>
    <t xml:space="preserve">Grid electricity consumption</t>
  </si>
  <si>
    <t xml:space="preserve">kWh/day</t>
  </si>
  <si>
    <t xml:space="preserve">Instrumentation, lighting, auxiliaries.</t>
  </si>
  <si>
    <t xml:space="preserve">M10</t>
  </si>
  <si>
    <t xml:space="preserve">Insurance (% of total CAPEX)</t>
  </si>
  <si>
    <t xml:space="preserve">0.5% of CAPEX per year.</t>
  </si>
  <si>
    <t xml:space="preserve">N — PRE-SORTING RECOVERABLE MATERIAL PRICES</t>
  </si>
  <si>
    <t xml:space="preserve">N1</t>
  </si>
  <si>
    <t xml:space="preserve">Recyclable PET price</t>
  </si>
  <si>
    <t xml:space="preserve">Clean sorted PET bales.</t>
  </si>
  <si>
    <t xml:space="preserve">N2</t>
  </si>
  <si>
    <t xml:space="preserve">Recyclable HDPE price</t>
  </si>
  <si>
    <t xml:space="preserve">Clean sorted HDPE bales.</t>
  </si>
  <si>
    <t xml:space="preserve">N3</t>
  </si>
  <si>
    <t xml:space="preserve">Cardboard / paper price</t>
  </si>
  <si>
    <t xml:space="preserve">Sorted bales.</t>
  </si>
  <si>
    <t xml:space="preserve">N4</t>
  </si>
  <si>
    <t xml:space="preserve">Pre-sort ferrous price</t>
  </si>
  <si>
    <t xml:space="preserve">Same as ferrous scrap price (J1)</t>
  </si>
  <si>
    <t xml:space="preserve">N5</t>
  </si>
  <si>
    <t xml:space="preserve">Pre-sort aluminium price</t>
  </si>
  <si>
    <t xml:space="preserve">Same as aluminium scrap price (J2)</t>
  </si>
  <si>
    <t xml:space="preserve">N6</t>
  </si>
  <si>
    <t xml:space="preserve">Pre-sort glass cullet price</t>
  </si>
  <si>
    <t xml:space="preserve">Same as glass cullet price (J5)</t>
  </si>
  <si>
    <t xml:space="preserve">URBAN RIG — Operational Configuration (V2)</t>
  </si>
  <si>
    <t xml:space="preserve">Sorting configurations, energy strategy, ramp-up. Blue cells = user inputs.</t>
  </si>
  <si>
    <t xml:space="preserve">O — SORTING CONFIGURATION</t>
  </si>
  <si>
    <t xml:space="preserve">O1</t>
  </si>
  <si>
    <t xml:space="preserve">Pre-sorting enabled (1=Yes, 0=No)</t>
  </si>
  <si>
    <t xml:space="preserve">Activates pre-sorting calculations and P&amp;L.</t>
  </si>
  <si>
    <t xml:space="preserve">O2</t>
  </si>
  <si>
    <t xml:space="preserve">Post-sorting enabled (1=Yes, 0=No)</t>
  </si>
  <si>
    <t xml:space="preserve">Activates post-sorting calculations and P&amp;L.</t>
  </si>
  <si>
    <t xml:space="preserve">Active configuration:</t>
  </si>
  <si>
    <t xml:space="preserve">Configuration description</t>
  </si>
  <si>
    <t xml:space="preserve">P — PRE-SORTING RECOVERY RATES (% of each fraction removed before reactor)</t>
  </si>
  <si>
    <t xml:space="preserve">P1</t>
  </si>
  <si>
    <t xml:space="preserve">Ferrous metal recovery rate</t>
  </si>
  <si>
    <t xml:space="preserve">Magnetic separator efficiency.</t>
  </si>
  <si>
    <t xml:space="preserve">P2</t>
  </si>
  <si>
    <t xml:space="preserve">Aluminium recovery rate</t>
  </si>
  <si>
    <t xml:space="preserve">Eddy current separator efficiency.</t>
  </si>
  <si>
    <t xml:space="preserve">P3</t>
  </si>
  <si>
    <t xml:space="preserve">Glass recovery rate</t>
  </si>
  <si>
    <t xml:space="preserve">Trommel + optical sorter.</t>
  </si>
  <si>
    <t xml:space="preserve">P4</t>
  </si>
  <si>
    <t xml:space="preserve">Recyclable plastic recovery (PET/HDPE)</t>
  </si>
  <si>
    <t xml:space="preserve">% of total plastic diverted for recycling.</t>
  </si>
  <si>
    <t xml:space="preserve">P5</t>
  </si>
  <si>
    <t xml:space="preserve">Cardboard/paper recovery</t>
  </si>
  <si>
    <t xml:space="preserve">% of organic fraction recovered as paper.</t>
  </si>
  <si>
    <t xml:space="preserve">P6</t>
  </si>
  <si>
    <t xml:space="preserve">Inert removal rate (pre-sort)</t>
  </si>
  <si>
    <t xml:space="preserve">Stone, ceramic removed by trommel.</t>
  </si>
  <si>
    <t xml:space="preserve">Q — POST-SORTING PARAMETERS (reactor output separation)</t>
  </si>
  <si>
    <t xml:space="preserve">Q1</t>
  </si>
  <si>
    <t xml:space="preserve">Char screening efficiency (combustible char recovered)</t>
  </si>
  <si>
    <t xml:space="preserve">Vibrating screen. Removes mineral fines.</t>
  </si>
  <si>
    <t xml:space="preserve">Q2</t>
  </si>
  <si>
    <t xml:space="preserve">Metal recovery from char (magnetic)</t>
  </si>
  <si>
    <t xml:space="preserve">Post-reactor ferrous from char matrix.</t>
  </si>
  <si>
    <t xml:space="preserve">Q3</t>
  </si>
  <si>
    <t xml:space="preserve">Mineral inert separation from char</t>
  </si>
  <si>
    <t xml:space="preserve">Density separation of non-combustible fines.</t>
  </si>
  <si>
    <t xml:space="preserve">R — ENERGY STRATEGY (V2: Off-gas + purchased oil hybrid)</t>
  </si>
  <si>
    <t xml:space="preserve">R1</t>
  </si>
  <si>
    <t xml:space="preserve">Energy source</t>
  </si>
  <si>
    <t xml:space="preserve">Off-gas + purchased oil</t>
  </si>
  <si>
    <t xml:space="preserve">V2: All reactor heating from purchased heating oil. Grid electricity for auxiliaries.</t>
  </si>
  <si>
    <t xml:space="preserve">R2</t>
  </si>
  <si>
    <t xml:space="preserve">Char market strategy</t>
  </si>
  <si>
    <t xml:space="preserve">Sell all</t>
  </si>
  <si>
    <t xml:space="preserve">V2: All char sold on market. No internal combustion.</t>
  </si>
  <si>
    <t xml:space="preserve">S — RAMP-UP PROFILE</t>
  </si>
  <si>
    <t xml:space="preserve">S1</t>
  </si>
  <si>
    <t xml:space="preserve">Year 1 capacity utilisation</t>
  </si>
  <si>
    <t xml:space="preserve">First year ramp-up.</t>
  </si>
  <si>
    <t xml:space="preserve">S2</t>
  </si>
  <si>
    <t xml:space="preserve">Year 2 capacity utilisation</t>
  </si>
  <si>
    <t xml:space="preserve">Second year.</t>
  </si>
  <si>
    <t xml:space="preserve">S3</t>
  </si>
  <si>
    <t xml:space="preserve">Year 3+ capacity utilisation</t>
  </si>
  <si>
    <t xml:space="preserve">Full capacity from Year 3.</t>
  </si>
  <si>
    <t xml:space="preserve">URBAN RIG — Production &amp; Process Calculations (V2)</t>
  </si>
  <si>
    <t xml:space="preserve">All values derived from Tabs 1-3. No manual inputs. Green = cross-sheet reference.</t>
  </si>
  <si>
    <t xml:space="preserve">Calculation</t>
  </si>
  <si>
    <t xml:space="preserve">Formula logic</t>
  </si>
  <si>
    <t xml:space="preserve">T1 — DAILY INPUT MASS BALANCE</t>
  </si>
  <si>
    <t xml:space="preserve">T1.1</t>
  </si>
  <si>
    <t xml:space="preserve">Gross daily input (kg/day)</t>
  </si>
  <si>
    <t xml:space="preserve">kg/day</t>
  </si>
  <si>
    <t xml:space="preserve">Daily throughput × 1000</t>
  </si>
  <si>
    <t xml:space="preserve">T1.2</t>
  </si>
  <si>
    <t xml:space="preserve">Rejected waste (kg/day)</t>
  </si>
  <si>
    <t xml:space="preserve">Rejection rate × gross input</t>
  </si>
  <si>
    <t xml:space="preserve">T1.3</t>
  </si>
  <si>
    <t xml:space="preserve">Net processable input (kg/day)</t>
  </si>
  <si>
    <t xml:space="preserve">Gross minus rejected</t>
  </si>
  <si>
    <t xml:space="preserve">T2 — INPUT COMPOSITION (kg/day, before pre-sorting)</t>
  </si>
  <si>
    <t xml:space="preserve">T2.1</t>
  </si>
  <si>
    <t xml:space="preserve">Plastic (kg/day)</t>
  </si>
  <si>
    <t xml:space="preserve">Net input × plastic fraction</t>
  </si>
  <si>
    <t xml:space="preserve">T2.2</t>
  </si>
  <si>
    <t xml:space="preserve">Organic + cellulose (kg/day)</t>
  </si>
  <si>
    <t xml:space="preserve">Net input × organic fraction</t>
  </si>
  <si>
    <t xml:space="preserve">T2.3</t>
  </si>
  <si>
    <t xml:space="preserve">Ferrous metal (kg/day)</t>
  </si>
  <si>
    <t xml:space="preserve">Net input × metal × ferrous share</t>
  </si>
  <si>
    <t xml:space="preserve">T2.4</t>
  </si>
  <si>
    <t xml:space="preserve">Aluminium (kg/day)</t>
  </si>
  <si>
    <t xml:space="preserve">Net input × metal × Al share</t>
  </si>
  <si>
    <t xml:space="preserve">T2.5</t>
  </si>
  <si>
    <t xml:space="preserve">Other metals (kg/day)</t>
  </si>
  <si>
    <t xml:space="preserve">Net input × metal × other share</t>
  </si>
  <si>
    <t xml:space="preserve">T2.6</t>
  </si>
  <si>
    <t xml:space="preserve">Glass (kg/day)</t>
  </si>
  <si>
    <t xml:space="preserve">Net input × glass fraction</t>
  </si>
  <si>
    <t xml:space="preserve">T2.7</t>
  </si>
  <si>
    <t xml:space="preserve">Mineral inerts (kg/day)</t>
  </si>
  <si>
    <t xml:space="preserve">Net input × inert fraction</t>
  </si>
  <si>
    <t xml:space="preserve">T2.8</t>
  </si>
  <si>
    <t xml:space="preserve">Moisture (kg/day)</t>
  </si>
  <si>
    <t xml:space="preserve">Net input × moisture content</t>
  </si>
  <si>
    <t xml:space="preserve">T2.9</t>
  </si>
  <si>
    <t xml:space="preserve">Other (kg/day)</t>
  </si>
  <si>
    <t xml:space="preserve">Net input × other fraction</t>
  </si>
  <si>
    <t xml:space="preserve">Input mass check</t>
  </si>
  <si>
    <t xml:space="preserve">Should be 0 (±1 rounding)</t>
  </si>
  <si>
    <t xml:space="preserve">T3 — PRE-SORTING REMOVALS (kg/day) — only if pre-sorting enabled</t>
  </si>
  <si>
    <t xml:space="preserve">T3.1</t>
  </si>
  <si>
    <t xml:space="preserve">Ferrous removed (pre-sort)</t>
  </si>
  <si>
    <t xml:space="preserve">If pre-sort ON: ferrous × recovery rate</t>
  </si>
  <si>
    <t xml:space="preserve">T3.2</t>
  </si>
  <si>
    <t xml:space="preserve">Aluminium removed (pre-sort)</t>
  </si>
  <si>
    <t xml:space="preserve">If pre-sort ON: Al × recovery rate</t>
  </si>
  <si>
    <t xml:space="preserve">T3.3</t>
  </si>
  <si>
    <t xml:space="preserve">Glass removed (pre-sort)</t>
  </si>
  <si>
    <t xml:space="preserve">If pre-sort ON: glass × recovery rate</t>
  </si>
  <si>
    <t xml:space="preserve">T3.4</t>
  </si>
  <si>
    <t xml:space="preserve">Recyclable plastic removed (pre-sort)</t>
  </si>
  <si>
    <t xml:space="preserve">If pre-sort ON: plastic × recyclable share</t>
  </si>
  <si>
    <t xml:space="preserve">T3.5</t>
  </si>
  <si>
    <t xml:space="preserve">Paper/cardboard removed (pre-sort)</t>
  </si>
  <si>
    <t xml:space="preserve">If pre-sort ON: organic × paper share</t>
  </si>
  <si>
    <t xml:space="preserve">T3.6</t>
  </si>
  <si>
    <t xml:space="preserve">Inerts removed (pre-sort)</t>
  </si>
  <si>
    <t xml:space="preserve">If pre-sort ON: inerts × removal rate</t>
  </si>
  <si>
    <t xml:space="preserve">T3.7</t>
  </si>
  <si>
    <t xml:space="preserve">Total pre-sorted removals</t>
  </si>
  <si>
    <t xml:space="preserve">All materials removed before reactor</t>
  </si>
  <si>
    <t xml:space="preserve">T4 — MODIFIED REACTOR FEED (after pre-sorting)</t>
  </si>
  <si>
    <t xml:space="preserve">T4.1</t>
  </si>
  <si>
    <t xml:space="preserve">Plastic entering reactor (kg/day)</t>
  </si>
  <si>
    <t xml:space="preserve">Original plastic minus recyclables removed</t>
  </si>
  <si>
    <t xml:space="preserve">T4.2</t>
  </si>
  <si>
    <t xml:space="preserve">Organic+cellulose entering reactor (kg/day)</t>
  </si>
  <si>
    <t xml:space="preserve">Original organic minus paper removed</t>
  </si>
  <si>
    <t xml:space="preserve">T4.3</t>
  </si>
  <si>
    <t xml:space="preserve">Ferrous entering reactor (kg/day)</t>
  </si>
  <si>
    <t xml:space="preserve">Residual ferrous</t>
  </si>
  <si>
    <t xml:space="preserve">T4.4</t>
  </si>
  <si>
    <t xml:space="preserve">Aluminium entering reactor (kg/day)</t>
  </si>
  <si>
    <t xml:space="preserve">Residual aluminium</t>
  </si>
  <si>
    <t xml:space="preserve">T4.5</t>
  </si>
  <si>
    <t xml:space="preserve">Other metals entering reactor (kg/day)</t>
  </si>
  <si>
    <t xml:space="preserve">Other metals not pre-sorted</t>
  </si>
  <si>
    <t xml:space="preserve">T4.6</t>
  </si>
  <si>
    <t xml:space="preserve">Glass entering reactor (kg/day)</t>
  </si>
  <si>
    <t xml:space="preserve">Residual glass</t>
  </si>
  <si>
    <t xml:space="preserve">T4.7</t>
  </si>
  <si>
    <t xml:space="preserve">Inerts entering reactor (kg/day)</t>
  </si>
  <si>
    <t xml:space="preserve">Residual inerts</t>
  </si>
  <si>
    <t xml:space="preserve">T4.8</t>
  </si>
  <si>
    <t xml:space="preserve">Moisture entering reactor (kg/day)</t>
  </si>
  <si>
    <t xml:space="preserve">Moisture unchanged by pre-sort</t>
  </si>
  <si>
    <t xml:space="preserve">T4.9</t>
  </si>
  <si>
    <t xml:space="preserve">Other entering reactor (kg/day)</t>
  </si>
  <si>
    <t xml:space="preserve">Other fraction unchanged</t>
  </si>
  <si>
    <t xml:space="preserve">T4.10</t>
  </si>
  <si>
    <t xml:space="preserve">Total reactor feed (kg/day)</t>
  </si>
  <si>
    <t xml:space="preserve">Should equal net input minus pre-sort removals</t>
  </si>
  <si>
    <t xml:space="preserve">T5 — REACTOR OUTPUTS (kg/day)</t>
  </si>
  <si>
    <t xml:space="preserve">T5.1</t>
  </si>
  <si>
    <t xml:space="preserve">Oil produced (kg/day)</t>
  </si>
  <si>
    <t xml:space="preserve">Plastic in × weighted oil yield</t>
  </si>
  <si>
    <t xml:space="preserve">T5.2</t>
  </si>
  <si>
    <t xml:space="preserve">Oil produced (litres/day)</t>
  </si>
  <si>
    <t xml:space="preserve">L/day</t>
  </si>
  <si>
    <t xml:space="preserve">kg ÷ density</t>
  </si>
  <si>
    <t xml:space="preserve">T5.3</t>
  </si>
  <si>
    <t xml:space="preserve">Off-gas from plastic (kg/day)</t>
  </si>
  <si>
    <t xml:space="preserve">Plastic in × off-gas yield</t>
  </si>
  <si>
    <t xml:space="preserve">T5.4</t>
  </si>
  <si>
    <t xml:space="preserve">Plastic residue / char (kg/day)</t>
  </si>
  <si>
    <t xml:space="preserve">Plastic in × residue yield</t>
  </si>
  <si>
    <t xml:space="preserve">T5.5</t>
  </si>
  <si>
    <t xml:space="preserve">Organic char (kg/day)</t>
  </si>
  <si>
    <t xml:space="preserve">Organic in × char yield</t>
  </si>
  <si>
    <t xml:space="preserve">T5.6</t>
  </si>
  <si>
    <t xml:space="preserve">Off-gas from organic (kg/day)</t>
  </si>
  <si>
    <t xml:space="preserve">Organic in × (1 - char yield)</t>
  </si>
  <si>
    <t xml:space="preserve">T5.7</t>
  </si>
  <si>
    <t xml:space="preserve">Metals passing through reactor (kg/day)</t>
  </si>
  <si>
    <t xml:space="preserve">Metals in char matrix (ferrous+Al+other)</t>
  </si>
  <si>
    <t xml:space="preserve">T5.8</t>
  </si>
  <si>
    <t xml:space="preserve">Glass/inerts in char matrix (kg/day)</t>
  </si>
  <si>
    <t xml:space="preserve">Glass + inerts become mineral fraction in char</t>
  </si>
  <si>
    <t xml:space="preserve">T5.9</t>
  </si>
  <si>
    <t xml:space="preserve">Moisture driven off as steam (kg/day)</t>
  </si>
  <si>
    <t xml:space="preserve">All moisture exits as steam</t>
  </si>
  <si>
    <t xml:space="preserve">T5.10</t>
  </si>
  <si>
    <t xml:space="preserve">Other fraction (gas/residue)</t>
  </si>
  <si>
    <t xml:space="preserve">Minor fraction</t>
  </si>
  <si>
    <t xml:space="preserve">Reactor mass balance check</t>
  </si>
  <si>
    <t xml:space="preserve">T6 — TOTAL SOLID OUTPUT FROM REACTOR (before post-sorting)</t>
  </si>
  <si>
    <t xml:space="preserve">T6.1</t>
  </si>
  <si>
    <t xml:space="preserve">Total combustible char (kg/day)</t>
  </si>
  <si>
    <t xml:space="preserve">Plastic char + organic char</t>
  </si>
  <si>
    <t xml:space="preserve">T6.2</t>
  </si>
  <si>
    <t xml:space="preserve">Total metals in char (kg/day)</t>
  </si>
  <si>
    <t xml:space="preserve">Metals embedded in char matrix</t>
  </si>
  <si>
    <t xml:space="preserve">T6.3</t>
  </si>
  <si>
    <t xml:space="preserve">Total mineral/glass in char (kg/day)</t>
  </si>
  <si>
    <t xml:space="preserve">Non-combustible fines in char</t>
  </si>
  <si>
    <t xml:space="preserve">T6.4</t>
  </si>
  <si>
    <t xml:space="preserve">Total mixed solids output (kg/day)</t>
  </si>
  <si>
    <t xml:space="preserve">Everything solid exiting the reactor</t>
  </si>
  <si>
    <t xml:space="preserve">T7 — POST-SORTING OUTPUT (kg/day) — only if post-sorting enabled</t>
  </si>
  <si>
    <t xml:space="preserve">T7.1</t>
  </si>
  <si>
    <t xml:space="preserve">Screened combustible char (kg/day)</t>
  </si>
  <si>
    <t xml:space="preserve">If post-sort ON: char × screening efficiency</t>
  </si>
  <si>
    <t xml:space="preserve">T7.2</t>
  </si>
  <si>
    <t xml:space="preserve">Metals recovered from char (kg/day)</t>
  </si>
  <si>
    <t xml:space="preserve">If post-sort ON: metals × recovery rate</t>
  </si>
  <si>
    <t xml:space="preserve">T7.3</t>
  </si>
  <si>
    <t xml:space="preserve">Mineral inerts separated (kg/day)</t>
  </si>
  <si>
    <t xml:space="preserve">If post-sort ON: inerts × separation rate</t>
  </si>
  <si>
    <t xml:space="preserve">T7.4</t>
  </si>
  <si>
    <t xml:space="preserve">Residue for disposal (kg/day)</t>
  </si>
  <si>
    <t xml:space="preserve">Unseparated remainder — disposal cost</t>
  </si>
  <si>
    <t xml:space="preserve">T8 — NET SALEABLE OUTPUTS SUMMARY (kg/day)</t>
  </si>
  <si>
    <t xml:space="preserve">T8.1</t>
  </si>
  <si>
    <t xml:space="preserve">Oil for sale (kg/day)</t>
  </si>
  <si>
    <t xml:space="preserve">All oil produced (or net of internal use, see R2)</t>
  </si>
  <si>
    <t xml:space="preserve">T8.2</t>
  </si>
  <si>
    <t xml:space="preserve">Oil for sale (L/day)</t>
  </si>
  <si>
    <t xml:space="preserve">T8.3</t>
  </si>
  <si>
    <t xml:space="preserve">Char for sale (kg/day)</t>
  </si>
  <si>
    <t xml:space="preserve">V2: All char for sale (no internal burning). Post-sort=screened, else=total.</t>
  </si>
  <si>
    <t xml:space="preserve">T8.4</t>
  </si>
  <si>
    <t xml:space="preserve">Metals for sale — pre-sorted (kg/day)</t>
  </si>
  <si>
    <t xml:space="preserve">Pre-sort: ferrous + Al removed before reactor</t>
  </si>
  <si>
    <t xml:space="preserve">T8.5</t>
  </si>
  <si>
    <t xml:space="preserve">Metals for sale — post-sorted (kg/day)</t>
  </si>
  <si>
    <t xml:space="preserve">Post-sort: metals recovered from char</t>
  </si>
  <si>
    <t xml:space="preserve">T8.6</t>
  </si>
  <si>
    <t xml:space="preserve">Glass for sale (pre-sorted) (kg/day)</t>
  </si>
  <si>
    <t xml:space="preserve">Pre-sort glass only</t>
  </si>
  <si>
    <t xml:space="preserve">T8.9</t>
  </si>
  <si>
    <t xml:space="preserve">Total for disposal (kg/day)</t>
  </si>
  <si>
    <t xml:space="preserve">Rejected + pre-sort inerts + post-sort residue + separated mineral inerts</t>
  </si>
  <si>
    <t xml:space="preserve">T9 — ENERGY BALANCE (V2: External energy model)</t>
  </si>
  <si>
    <t xml:space="preserve">T9.1</t>
  </si>
  <si>
    <t xml:space="preserve">Off-gas energy from plastic (MJ/day)</t>
  </si>
  <si>
    <t xml:space="preserve">MJ/day</t>
  </si>
  <si>
    <t xml:space="preserve">Off-gas mass × energy per kg plastic × (yield ratio)</t>
  </si>
  <si>
    <t xml:space="preserve">T9.2</t>
  </si>
  <si>
    <t xml:space="preserve">Off-gas energy from organic (MJ/day)</t>
  </si>
  <si>
    <t xml:space="preserve">Organic off-gas mass × CV per kg organic off-gas</t>
  </si>
  <si>
    <t xml:space="preserve">T9.3</t>
  </si>
  <si>
    <t xml:space="preserve">Total off-gas energy (MJ/day)</t>
  </si>
  <si>
    <t xml:space="preserve">T9.4</t>
  </si>
  <si>
    <t xml:space="preserve">Char energy — organic char (MJ/day)</t>
  </si>
  <si>
    <t xml:space="preserve">Organic char × CV organic</t>
  </si>
  <si>
    <t xml:space="preserve">T9.5</t>
  </si>
  <si>
    <t xml:space="preserve">Char energy — plastic char (MJ/day)</t>
  </si>
  <si>
    <t xml:space="preserve">Plastic char × CV plastic</t>
  </si>
  <si>
    <t xml:space="preserve">T9.6</t>
  </si>
  <si>
    <t xml:space="preserve">Total char energy available (MJ/day)</t>
  </si>
  <si>
    <t xml:space="preserve">T9.7</t>
  </si>
  <si>
    <t xml:space="preserve">Total heating demand (MJ/day)</t>
  </si>
  <si>
    <t xml:space="preserve">Reactor feed (T) × MJ/T</t>
  </si>
  <si>
    <t xml:space="preserve">T9.8</t>
  </si>
  <si>
    <t xml:space="preserve">Off-gas coverage (%)</t>
  </si>
  <si>
    <t xml:space="preserve">%</t>
  </si>
  <si>
    <t xml:space="preserve">Off-gas energy ÷ heating demand</t>
  </si>
  <si>
    <t xml:space="preserve">T9.12</t>
  </si>
  <si>
    <t xml:space="preserve">Surplus char available for sale (kg/day)</t>
  </si>
  <si>
    <t xml:space="preserve">V2: All combustible char available for sale.</t>
  </si>
  <si>
    <t xml:space="preserve">T9.13</t>
  </si>
  <si>
    <t xml:space="preserve">External heating oil needed after off-gas offset (L/day)</t>
  </si>
  <si>
    <t xml:space="preserve">V2: All heating from purchased oil. 38 MJ/L energy content.</t>
  </si>
  <si>
    <t xml:space="preserve">T9.14</t>
  </si>
  <si>
    <t xml:space="preserve">Annual fuel cost (EUR)</t>
  </si>
  <si>
    <t xml:space="preserve">V2: Full-capacity annual heating oil cost. Ramp-up applied in OPEX.</t>
  </si>
  <si>
    <t xml:space="preserve">T9.15</t>
  </si>
  <si>
    <t xml:space="preserve">Annual electricity cost (EUR/year)</t>
  </si>
  <si>
    <t xml:space="preserve">V2: kWh/day × operating days × EUR/kWh. Full capacity.</t>
  </si>
  <si>
    <t xml:space="preserve">T10 — ANNUAL VOLUMES (steady state)</t>
  </si>
  <si>
    <t xml:space="preserve">T10.1</t>
  </si>
  <si>
    <t xml:space="preserve">Annual oil production (litres)</t>
  </si>
  <si>
    <t xml:space="preserve">L/year</t>
  </si>
  <si>
    <t xml:space="preserve">Daily litres × operating days</t>
  </si>
  <si>
    <t xml:space="preserve">T10.2</t>
  </si>
  <si>
    <t xml:space="preserve">Annual oil production (tonnes)</t>
  </si>
  <si>
    <t xml:space="preserve">Daily kg × days ÷ 1000</t>
  </si>
  <si>
    <t xml:space="preserve">T10.3</t>
  </si>
  <si>
    <t xml:space="preserve">Annual char for sale (tonnes)</t>
  </si>
  <si>
    <t xml:space="preserve">T10.4</t>
  </si>
  <si>
    <t xml:space="preserve">Annual pre-sorted metals (tonnes)</t>
  </si>
  <si>
    <t xml:space="preserve">T10.5</t>
  </si>
  <si>
    <t xml:space="preserve">Annual post-sorted metals (tonnes)</t>
  </si>
  <si>
    <t xml:space="preserve">T10.6</t>
  </si>
  <si>
    <t xml:space="preserve">Annual pre-sorted glass (tonnes)</t>
  </si>
  <si>
    <t xml:space="preserve">T10.9</t>
  </si>
  <si>
    <t xml:space="preserve">Annual disposal volume (tonnes)</t>
  </si>
  <si>
    <t xml:space="preserve">T11 — CARBON CREDITS</t>
  </si>
  <si>
    <t xml:space="preserve">T11.1</t>
  </si>
  <si>
    <t xml:space="preserve">CO₂ avoided vs incineration (T/year)</t>
  </si>
  <si>
    <t xml:space="preserve">T CO₂/year</t>
  </si>
  <si>
    <t xml:space="preserve">Throughput × baseline × 80% creditable</t>
  </si>
  <si>
    <t xml:space="preserve">T11.2</t>
  </si>
  <si>
    <t xml:space="preserve">CO₂ from process + fuel (T/year)</t>
  </si>
  <si>
    <t xml:space="preserve">Estimate: 0.4 T CO₂ per T waste processed</t>
  </si>
  <si>
    <t xml:space="preserve">T11.3</t>
  </si>
  <si>
    <t xml:space="preserve">Net CO₂ reduction (T/year)</t>
  </si>
  <si>
    <t xml:space="preserve">Capital Expenditure Breakdown (V2)</t>
  </si>
  <si>
    <t xml:space="preserve">All values in EUR. Blue = input assumption.</t>
  </si>
  <si>
    <t xml:space="preserve">#</t>
  </si>
  <si>
    <t xml:space="preserve">Item</t>
  </si>
  <si>
    <t xml:space="preserve">Amount (EUR)</t>
  </si>
  <si>
    <t xml:space="preserve">% of Total</t>
  </si>
  <si>
    <t xml:space="preserve">Notes</t>
  </si>
  <si>
    <t xml:space="preserve">CORE PROCESSING CAPEX</t>
  </si>
  <si>
    <t xml:space="preserve">1</t>
  </si>
  <si>
    <t xml:space="preserve">URC-2000 machine price</t>
  </si>
  <si>
    <t xml:space="preserve">Urban Rig URC-2000 spec. Scales with capacity.</t>
  </si>
  <si>
    <t xml:space="preserve">2</t>
  </si>
  <si>
    <t xml:space="preserve">Installation &amp; commissioning</t>
  </si>
  <si>
    <t xml:space="preserve">Site installation.</t>
  </si>
  <si>
    <t xml:space="preserve">3</t>
  </si>
  <si>
    <t xml:space="preserve">Freight</t>
  </si>
  <si>
    <t xml:space="preserve">Transport from manufacturing site.</t>
  </si>
  <si>
    <t xml:space="preserve">4</t>
  </si>
  <si>
    <t xml:space="preserve">Training package</t>
  </si>
  <si>
    <t xml:space="preserve">Operator and maintenance training.</t>
  </si>
  <si>
    <t xml:space="preserve">5</t>
  </si>
  <si>
    <t xml:space="preserve">Accessories &amp; spares</t>
  </si>
  <si>
    <t xml:space="preserve">Spare parts, tools, monitoring.</t>
  </si>
  <si>
    <t xml:space="preserve">6</t>
  </si>
  <si>
    <t xml:space="preserve">Building / site preparation</t>
  </si>
  <si>
    <t xml:space="preserve">Civil works, foundations, utilities.</t>
  </si>
  <si>
    <t xml:space="preserve">Core subtotal</t>
  </si>
  <si>
    <t xml:space="preserve">PRE-SORTING CAPEX (revised — equipment FOB + install)</t>
  </si>
  <si>
    <t xml:space="preserve">7</t>
  </si>
  <si>
    <t xml:space="preserve">Trommel / screening unit</t>
  </si>
  <si>
    <t xml:space="preserve">Komptech/Doppstadt class, 6 T/hr MSW. EU OEM €200-350K.</t>
  </si>
  <si>
    <t xml:space="preserve">8</t>
  </si>
  <si>
    <t xml:space="preserve">Overband magnetic separator (ferrous)</t>
  </si>
  <si>
    <t xml:space="preserve">Steinert/Eriez/Bunting 1200mm belt. EU OEM €40-80K.</t>
  </si>
  <si>
    <t xml:space="preserve">9</t>
  </si>
  <si>
    <t xml:space="preserve">Eddy current separator (aluminium)</t>
  </si>
  <si>
    <t xml:space="preserve">Steinert NES 150, 1500mm belt. EU OEM €80-150K.</t>
  </si>
  <si>
    <t xml:space="preserve">10</t>
  </si>
  <si>
    <t xml:space="preserve">Optical / NIR sorter (PET/HDPE)</t>
  </si>
  <si>
    <t xml:space="preserve">TOMRA AUTOSORT or Pellenc ST. EU OEM €250-450K. OPTIONAL.</t>
  </si>
  <si>
    <t xml:space="preserve">11</t>
  </si>
  <si>
    <t xml:space="preserve">Conveyors, hoppers, platforms</t>
  </si>
  <si>
    <t xml:space="preserve">~70m belt conveyor + structural steel. €1.5-3K/m installed.</t>
  </si>
  <si>
    <t xml:space="preserve">12</t>
  </si>
  <si>
    <t xml:space="preserve">Pre-sorting installation &amp; integration</t>
  </si>
  <si>
    <t xml:space="preserve">Mechanical + electrical integration.</t>
  </si>
  <si>
    <t xml:space="preserve">Pre-sorting subtotal (if enabled)</t>
  </si>
  <si>
    <t xml:space="preserve">POST-SORTING CAPEX (revised — equipment FOB + install)</t>
  </si>
  <si>
    <t xml:space="preserve">13</t>
  </si>
  <si>
    <t xml:space="preserve">Vibrating screen / char trommel</t>
  </si>
  <si>
    <t xml:space="preserve">3-5 T/hr char screening. EU OEM €60-120K.</t>
  </si>
  <si>
    <t xml:space="preserve">14</t>
  </si>
  <si>
    <t xml:space="preserve">Magnetic separator (post-reactor)</t>
  </si>
  <si>
    <t xml:space="preserve">Drum magnet for ferrous from char. EU OEM €30-60K.</t>
  </si>
  <si>
    <t xml:space="preserve">15</t>
  </si>
  <si>
    <t xml:space="preserve">Density separator (mineral fines)</t>
  </si>
  <si>
    <t xml:space="preserve">Air table or jig. EU OEM €60-120K.</t>
  </si>
  <si>
    <t xml:space="preserve">16</t>
  </si>
  <si>
    <t xml:space="preserve">Briquetting / pelletising press</t>
  </si>
  <si>
    <t xml:space="preserve">RUF/WEIMA/C.F. Nielsen 2-3 T/hr. OPTIONAL. EU OEM €100-200K.</t>
  </si>
  <si>
    <t xml:space="preserve">17</t>
  </si>
  <si>
    <t xml:space="preserve">Post-sorting installation &amp; integration</t>
  </si>
  <si>
    <t xml:space="preserve">Post-sorting subtotal (if enabled)</t>
  </si>
  <si>
    <t xml:space="preserve">SITE COMPLIANCE &amp; ENGINEERING (NEW)</t>
  </si>
  <si>
    <t xml:space="preserve">18</t>
  </si>
  <si>
    <t xml:space="preserve">ATEX compliance (zonage, ventilation, éclairage)</t>
  </si>
  <si>
    <t xml:space="preserve">Mandatory for char dust. Zonage + captation + détection. €300-500K.</t>
  </si>
  <si>
    <t xml:space="preserve">19</t>
  </si>
  <si>
    <t xml:space="preserve">Dépoussiérage / dust extraction system</t>
  </si>
  <si>
    <t xml:space="preserve">Filtration, extraction, cyclones. €150-350K depending on config.</t>
  </si>
  <si>
    <t xml:space="preserve">20</t>
  </si>
  <si>
    <t xml:space="preserve">Ingénierie détaillée / detailed engineering</t>
  </si>
  <si>
    <t xml:space="preserve">Process design, P&amp;ID, civil, electrical, structural. €250-500K.</t>
  </si>
  <si>
    <t xml:space="preserve">21</t>
  </si>
  <si>
    <t xml:space="preserve">Études environnementales &amp; ICPE permitting</t>
  </si>
  <si>
    <t xml:space="preserve">EIA, ICPE dossier, public enquiry. France: €100-200K.</t>
  </si>
  <si>
    <t xml:space="preserve">22</t>
  </si>
  <si>
    <t xml:space="preserve">Maîtrise d'œuvre / project management</t>
  </si>
  <si>
    <t xml:space="preserve">Construction supervision, commissioning oversight. 12-18 months.</t>
  </si>
  <si>
    <t xml:space="preserve">23</t>
  </si>
  <si>
    <t xml:space="preserve">Assurance décennale &amp; contrôles techniques</t>
  </si>
  <si>
    <t xml:space="preserve">Bureau Veritas / Apave inspections, certifications.</t>
  </si>
  <si>
    <t xml:space="preserve">Compliance &amp; engineering subtotal</t>
  </si>
  <si>
    <t xml:space="preserve">CONTINGENCY &amp; TOTAL</t>
  </si>
  <si>
    <t xml:space="preserve">24</t>
  </si>
  <si>
    <t xml:space="preserve">Contingency (5% of total equipment)</t>
  </si>
  <si>
    <t xml:space="preserve">Risk buffer on equipment only.</t>
  </si>
  <si>
    <t xml:space="preserve">TOTAL CAPEX</t>
  </si>
  <si>
    <t xml:space="preserve">FINANCING BREAKDOWN</t>
  </si>
  <si>
    <t xml:space="preserve">Loan amount (debt)</t>
  </si>
  <si>
    <t xml:space="preserve">EUR</t>
  </si>
  <si>
    <t xml:space="preserve">Equity required</t>
  </si>
  <si>
    <t xml:space="preserve">Annual depreciation</t>
  </si>
  <si>
    <t xml:space="preserve">CAPEX BREAKDOWN (%)</t>
  </si>
  <si>
    <t xml:space="preserve">Core processing</t>
  </si>
  <si>
    <t xml:space="preserve">Pre-sorting</t>
  </si>
  <si>
    <t xml:space="preserve">Post-sorting</t>
  </si>
  <si>
    <t xml:space="preserve">Compliance &amp; engineering</t>
  </si>
  <si>
    <t xml:space="preserve">Contingency</t>
  </si>
  <si>
    <t xml:space="preserve">Revenue Model — 15-Year Projection (V2)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</si>
  <si>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</si>
  <si>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</si>
  <si>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</si>
  <si>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</si>
  <si>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</si>
  <si>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</si>
  <si>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</si>
  <si>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</si>
  <si>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</si>
  <si>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</si>
  <si>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</si>
  <si>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</si>
  <si>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</si>
  <si>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</si>
  <si>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</si>
  <si>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Capacity utilisation</t>
  </si>
  <si>
    <t xml:space="preserve">Annual throughput (T)</t>
  </si>
  <si>
    <t xml:space="preserve">GATE FEE REVENUE</t>
  </si>
  <si>
    <t xml:space="preserve">Gate fee revenue</t>
  </si>
  <si>
    <t xml:space="preserve">OIL REVENUE</t>
  </si>
  <si>
    <t xml:space="preserve">Oil volume (litres)</t>
  </si>
  <si>
    <t xml:space="preserve">Oil revenue</t>
  </si>
  <si>
    <t xml:space="preserve">CHAR REVENUE</t>
  </si>
  <si>
    <t xml:space="preserve">Char for sale (T/year)</t>
  </si>
  <si>
    <t xml:space="preserve">Char revenue</t>
  </si>
  <si>
    <t xml:space="preserve">METAL REVENUE</t>
  </si>
  <si>
    <t xml:space="preserve">Pre-sorted metals (T/year)</t>
  </si>
  <si>
    <t xml:space="preserve">Post-sorted metals (T/year)</t>
  </si>
  <si>
    <t xml:space="preserve">Metal revenue (all sources)</t>
  </si>
  <si>
    <t xml:space="preserve">PRE-SORTED RECYCLABLES REVENUE</t>
  </si>
  <si>
    <t xml:space="preserve">Glass revenue</t>
  </si>
  <si>
    <t xml:space="preserve">Total recyclables revenue</t>
  </si>
  <si>
    <t xml:space="preserve">CARBON CREDIT REVENUE</t>
  </si>
  <si>
    <t xml:space="preserve">Carbon credit revenue</t>
  </si>
  <si>
    <t xml:space="preserve">DISPOSAL COSTS (negative)</t>
  </si>
  <si>
    <t xml:space="preserve">TOTAL REVENUE</t>
  </si>
  <si>
    <t xml:space="preserve">Operating Expenditure — 15-Year Projection (V2)</t>
  </si>
  <si>
    <t xml:space="preserve">CORE PROCESSING OPEX</t>
  </si>
  <si>
    <t xml:space="preserve">Core staff costs</t>
  </si>
  <si>
    <t xml:space="preserve">Maintenance</t>
  </si>
  <si>
    <t xml:space="preserve">Grid electricity</t>
  </si>
  <si>
    <t xml:space="preserve">Heating oil (reactor heating)</t>
  </si>
  <si>
    <t xml:space="preserve">Insurance</t>
  </si>
  <si>
    <t xml:space="preserve">Contingency / other</t>
  </si>
  <si>
    <t xml:space="preserve">Core OPEX subtotal</t>
  </si>
  <si>
    <t xml:space="preserve">PRE-SORTING OPEX</t>
  </si>
  <si>
    <t xml:space="preserve">Pre-sorting staff</t>
  </si>
  <si>
    <t xml:space="preserve">Pre-sorting maintenance &amp; electricity</t>
  </si>
  <si>
    <t xml:space="preserve">Pre-sorting OPEX subtotal</t>
  </si>
  <si>
    <t xml:space="preserve">POST-SORTING OPEX</t>
  </si>
  <si>
    <t xml:space="preserve">Post-sorting staff</t>
  </si>
  <si>
    <t xml:space="preserve">Post-sorting maintenance &amp; electricity</t>
  </si>
  <si>
    <t xml:space="preserve">Post-sorting OPEX subtotal</t>
  </si>
  <si>
    <t xml:space="preserve">Ash &amp; non-sellable disposal</t>
  </si>
  <si>
    <t xml:space="preserve">TOTAL OPEX</t>
  </si>
  <si>
    <t xml:space="preserve">Loan Amortization Schedule — Annual Summary (V2)</t>
  </si>
  <si>
    <t xml:space="preserve">Monthly PMT annualised.</t>
  </si>
  <si>
    <t xml:space="preserve">Loan amount:</t>
  </si>
  <si>
    <t xml:space="preserve">Annual payment:</t>
  </si>
  <si>
    <t xml:space="preserve">Year</t>
  </si>
  <si>
    <t xml:space="preserve">Opening Balance</t>
  </si>
  <si>
    <t xml:space="preserve">Annual Payment</t>
  </si>
  <si>
    <t xml:space="preserve">Interest</t>
  </si>
  <si>
    <t xml:space="preserve">Principal</t>
  </si>
  <si>
    <t xml:space="preserve">Closing Balance</t>
  </si>
  <si>
    <t xml:space="preserve">Total</t>
  </si>
  <si>
    <t xml:space="preserve">Consolidated Profit &amp; Loss — 15-Year Projection (V2)</t>
  </si>
  <si>
    <t xml:space="preserve">Total Revenue</t>
  </si>
  <si>
    <t xml:space="preserve">Total OPEX</t>
  </si>
  <si>
    <t xml:space="preserve">EBITDA</t>
  </si>
  <si>
    <t xml:space="preserve">EBITDA margin</t>
  </si>
  <si>
    <t xml:space="preserve">Depreciation</t>
  </si>
  <si>
    <t xml:space="preserve">EBIT</t>
  </si>
  <si>
    <t xml:space="preserve">Interest expense</t>
  </si>
  <si>
    <t xml:space="preserve">EBT</t>
  </si>
  <si>
    <t xml:space="preserve">Corporate tax</t>
  </si>
  <si>
    <t xml:space="preserve">NET INCOME</t>
  </si>
  <si>
    <t xml:space="preserve">Pre-Sorting Segment P&amp;L — 15-Year (V2)</t>
  </si>
  <si>
    <t xml:space="preserve">Pre-sorted metals revenue</t>
  </si>
  <si>
    <t xml:space="preserve">Pre-sorted glass revenue</t>
  </si>
  <si>
    <t xml:space="preserve">Total pre-sorting revenue</t>
  </si>
  <si>
    <t xml:space="preserve">Pre-sorting OPEX</t>
  </si>
  <si>
    <t xml:space="preserve">Pre-sorting EBITDA</t>
  </si>
  <si>
    <t xml:space="preserve">Pre-sorting CAPEX</t>
  </si>
  <si>
    <t xml:space="preserve">Simple payback (years)</t>
  </si>
  <si>
    <t xml:space="preserve">Core Processing Segment P&amp;L — 15-Year (V2)</t>
  </si>
  <si>
    <t xml:space="preserve">Total core revenue</t>
  </si>
  <si>
    <t xml:space="preserve">Core OPEX</t>
  </si>
  <si>
    <t xml:space="preserve">Core processing EBITDA</t>
  </si>
  <si>
    <t xml:space="preserve">Core CAPEX</t>
  </si>
  <si>
    <t xml:space="preserve">Post-Sorting Segment P&amp;L — 15-Year (V2)</t>
  </si>
  <si>
    <t xml:space="preserve">Post-sorted metals revenue</t>
  </si>
  <si>
    <t xml:space="preserve">Total post-sorting value added</t>
  </si>
  <si>
    <t xml:space="preserve">Post-sorting OPEX</t>
  </si>
  <si>
    <t xml:space="preserve">Post-sorting EBITDA</t>
  </si>
  <si>
    <t xml:space="preserve">Post-sorting CAPEX</t>
  </si>
  <si>
    <t xml:space="preserve">Cash Flow Statement — 15-Year Projection (V2)</t>
  </si>
  <si>
    <t xml:space="preserve">Net income</t>
  </si>
  <si>
    <t xml:space="preserve">Add back: Depreciation</t>
  </si>
  <si>
    <t xml:space="preserve">Change in working capital</t>
  </si>
  <si>
    <t xml:space="preserve">Operating cash flow</t>
  </si>
  <si>
    <t xml:space="preserve">Loan principal repayment</t>
  </si>
  <si>
    <t xml:space="preserve">Free cash flow (after debt)</t>
  </si>
  <si>
    <t xml:space="preserve">Cumulative cash flow</t>
  </si>
  <si>
    <t xml:space="preserve">EQUITY INVESTED (Year 0)</t>
  </si>
  <si>
    <t xml:space="preserve">Cumulative cash flow net of equity</t>
  </si>
  <si>
    <t xml:space="preserve">KEY METRICS</t>
  </si>
  <si>
    <t xml:space="preserve">Equity payback (approx years)</t>
  </si>
  <si>
    <t xml:space="preserve">Annualised ROI on equity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</si>
</sst>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#,##0;\(#,##0\);\-"/>
    <numFmt numFmtId="167" formatCode="0.0%"/>
    <numFmt numFmtId="168" formatCode="0.00%"/>
    <numFmt numFmtId="169" formatCode="0"/>
    <numFmt numFmtId="170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9"/>
      <color rgb="FF99999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5303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2D8B46"/>
      <name val="Arial"/>
      <family val="0"/>
      <charset val="1"/>
    </font>
    <font>
      <b val="true"/>
      <sz val="10"/>
      <color rgb="FF2D8B4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3EDF7"/>
        <bgColor rgb="FFF5F5F5"/>
      </patternFill>
    </fill>
    <fill>
      <patternFill patternType="solid">
        <fgColor rgb="FFFFFFF0"/>
        <bgColor rgb="FFFFFFFF"/>
      </patternFill>
    </fill>
    <fill>
      <patternFill patternType="solid">
        <fgColor rgb="FFF5F5F5"/>
        <bgColor rgb="FFFFFFF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F0"/>
      <rgbColor rgb="FFE3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D8B46"/>
      <rgbColor rgb="FF003300"/>
      <rgbColor rgb="FF333300"/>
      <rgbColor rgb="FFC5303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50"/>
    <col collapsed="false" customWidth="true" hidden="false" outlineLevel="0" max="7" min="6" style="1" width="16"/>
    <col collapsed="false" customWidth="true" hidden="false" outlineLevel="0" max="8" min="8" style="1" width="30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/>
      <c r="B5" s="5" t="s">
        <v>7</v>
      </c>
      <c r="C5" s="5"/>
      <c r="D5" s="5"/>
      <c r="E5" s="5"/>
    </row>
    <row r="6" customFormat="false" ht="15" hidden="false" customHeight="true" outlineLevel="0" collapsed="false">
      <c r="A6" s="6" t="s">
        <v>8</v>
      </c>
      <c r="B6" s="7" t="s">
        <v>9</v>
      </c>
      <c r="C6" s="8" t="n">
        <v>200</v>
      </c>
      <c r="D6" s="7" t="s">
        <v>10</v>
      </c>
      <c r="E6" s="9" t="s">
        <v>11</v>
      </c>
    </row>
    <row r="7" customFormat="false" ht="15" hidden="false" customHeight="true" outlineLevel="0" collapsed="false">
      <c r="A7" s="6" t="s">
        <v>12</v>
      </c>
      <c r="B7" s="7" t="s">
        <v>13</v>
      </c>
      <c r="C7" s="10" t="n">
        <v>0.7</v>
      </c>
      <c r="D7" s="7" t="s">
        <v>14</v>
      </c>
      <c r="E7" s="9" t="s">
        <v>15</v>
      </c>
    </row>
    <row r="8" customFormat="false" ht="15" hidden="false" customHeight="true" outlineLevel="0" collapsed="false">
      <c r="A8" s="6" t="s">
        <v>16</v>
      </c>
      <c r="B8" s="7" t="s">
        <v>17</v>
      </c>
      <c r="C8" s="11" t="n">
        <f aca="false">C6*C7</f>
        <v>140</v>
      </c>
      <c r="D8" s="7" t="s">
        <v>18</v>
      </c>
      <c r="E8" s="9" t="s">
        <v>19</v>
      </c>
    </row>
    <row r="9" customFormat="false" ht="15" hidden="false" customHeight="true" outlineLevel="0" collapsed="false">
      <c r="A9" s="6" t="s">
        <v>20</v>
      </c>
      <c r="B9" s="7" t="s">
        <v>21</v>
      </c>
      <c r="C9" s="8" t="n">
        <v>1</v>
      </c>
      <c r="D9" s="7" t="s">
        <v>22</v>
      </c>
      <c r="E9" s="9" t="s">
        <v>23</v>
      </c>
    </row>
    <row r="10" customFormat="false" ht="15" hidden="false" customHeight="true" outlineLevel="0" collapsed="false">
      <c r="A10" s="6" t="s">
        <v>24</v>
      </c>
      <c r="B10" s="7" t="s">
        <v>25</v>
      </c>
      <c r="C10" s="8" t="n">
        <v>330</v>
      </c>
      <c r="D10" s="7" t="s">
        <v>26</v>
      </c>
      <c r="E10" s="9" t="s">
        <v>27</v>
      </c>
    </row>
    <row r="11" customFormat="false" ht="15" hidden="false" customHeight="true" outlineLevel="0" collapsed="false">
      <c r="A11" s="6" t="s">
        <v>28</v>
      </c>
      <c r="B11" s="7" t="s">
        <v>29</v>
      </c>
      <c r="C11" s="11" t="n">
        <f aca="false">C8*C10</f>
        <v>46200</v>
      </c>
      <c r="D11" s="7" t="s">
        <v>30</v>
      </c>
      <c r="E11" s="9" t="s">
        <v>31</v>
      </c>
    </row>
    <row r="12" customFormat="false" ht="15" hidden="false" customHeight="true" outlineLevel="0" collapsed="false">
      <c r="A12" s="6" t="s">
        <v>32</v>
      </c>
      <c r="B12" s="7" t="s">
        <v>33</v>
      </c>
      <c r="C12" s="11" t="n">
        <f aca="false">C11*C9</f>
        <v>46200</v>
      </c>
      <c r="D12" s="7" t="s">
        <v>30</v>
      </c>
      <c r="E12" s="9" t="s">
        <v>34</v>
      </c>
    </row>
    <row r="14" customFormat="false" ht="15" hidden="false" customHeight="true" outlineLevel="0" collapsed="false">
      <c r="A14" s="5"/>
      <c r="B14" s="5" t="s">
        <v>35</v>
      </c>
      <c r="C14" s="5"/>
      <c r="D14" s="5"/>
      <c r="E14" s="5"/>
    </row>
    <row r="15" customFormat="false" ht="15" hidden="false" customHeight="true" outlineLevel="0" collapsed="false">
      <c r="A15" s="6" t="s">
        <v>36</v>
      </c>
      <c r="B15" s="7" t="s">
        <v>37</v>
      </c>
      <c r="C15" s="12" t="n">
        <v>0.3</v>
      </c>
      <c r="D15" s="7"/>
      <c r="E15" s="9" t="s">
        <v>38</v>
      </c>
    </row>
    <row r="16" customFormat="false" ht="15" hidden="false" customHeight="true" outlineLevel="0" collapsed="false">
      <c r="A16" s="6" t="s">
        <v>39</v>
      </c>
      <c r="B16" s="7" t="s">
        <v>40</v>
      </c>
      <c r="C16" s="12" t="n">
        <v>0.47</v>
      </c>
      <c r="D16" s="7"/>
      <c r="E16" s="9" t="s">
        <v>41</v>
      </c>
    </row>
    <row r="17" customFormat="false" ht="15" hidden="false" customHeight="true" outlineLevel="0" collapsed="false">
      <c r="A17" s="6" t="s">
        <v>42</v>
      </c>
      <c r="B17" s="7" t="s">
        <v>43</v>
      </c>
      <c r="C17" s="12" t="n">
        <v>0.05</v>
      </c>
      <c r="D17" s="7"/>
      <c r="E17" s="9" t="s">
        <v>44</v>
      </c>
    </row>
    <row r="18" customFormat="false" ht="15" hidden="false" customHeight="true" outlineLevel="0" collapsed="false">
      <c r="A18" s="6" t="s">
        <v>45</v>
      </c>
      <c r="B18" s="7" t="s">
        <v>46</v>
      </c>
      <c r="C18" s="12" t="n">
        <v>0.055</v>
      </c>
      <c r="D18" s="7"/>
      <c r="E18" s="9" t="s">
        <v>47</v>
      </c>
    </row>
    <row r="19" customFormat="false" ht="15" hidden="false" customHeight="true" outlineLevel="0" collapsed="false">
      <c r="A19" s="6" t="s">
        <v>48</v>
      </c>
      <c r="B19" s="7" t="s">
        <v>49</v>
      </c>
      <c r="C19" s="12" t="n">
        <v>0.02</v>
      </c>
      <c r="D19" s="7"/>
      <c r="E19" s="9" t="s">
        <v>50</v>
      </c>
    </row>
    <row r="20" customFormat="false" ht="15" hidden="false" customHeight="true" outlineLevel="0" collapsed="false">
      <c r="A20" s="6" t="s">
        <v>51</v>
      </c>
      <c r="B20" s="7" t="s">
        <v>52</v>
      </c>
      <c r="C20" s="12" t="n">
        <v>0.08</v>
      </c>
      <c r="D20" s="7"/>
      <c r="E20" s="9" t="s">
        <v>53</v>
      </c>
    </row>
    <row r="21" customFormat="false" ht="15" hidden="false" customHeight="true" outlineLevel="0" collapsed="false">
      <c r="A21" s="6" t="s">
        <v>54</v>
      </c>
      <c r="B21" s="7" t="s">
        <v>55</v>
      </c>
      <c r="C21" s="13" t="n">
        <f aca="false">1-SUM(C15:C20)</f>
        <v>0.025</v>
      </c>
      <c r="D21" s="7"/>
      <c r="E21" s="9" t="s">
        <v>56</v>
      </c>
    </row>
    <row r="22" customFormat="false" ht="15" hidden="false" customHeight="true" outlineLevel="0" collapsed="false">
      <c r="A22" s="6"/>
      <c r="B22" s="7" t="s">
        <v>57</v>
      </c>
      <c r="C22" s="14" t="str">
        <f aca="false">IF(ABS(SUM(C15:C21)-1)&lt;0.001,"OK ✓","ERROR")</f>
        <v>OK ✓</v>
      </c>
      <c r="D22" s="7"/>
      <c r="E22" s="9"/>
    </row>
    <row r="24" customFormat="false" ht="15" hidden="false" customHeight="true" outlineLevel="0" collapsed="false">
      <c r="A24" s="5"/>
      <c r="B24" s="5" t="s">
        <v>58</v>
      </c>
      <c r="C24" s="5"/>
      <c r="D24" s="5"/>
      <c r="E24" s="5"/>
    </row>
    <row r="25" customFormat="false" ht="15" hidden="false" customHeight="true" outlineLevel="0" collapsed="false">
      <c r="A25" s="6" t="s">
        <v>59</v>
      </c>
      <c r="B25" s="7" t="s">
        <v>60</v>
      </c>
      <c r="C25" s="12" t="n">
        <v>0.8</v>
      </c>
      <c r="D25" s="7"/>
      <c r="E25" s="9" t="s">
        <v>61</v>
      </c>
    </row>
    <row r="26" customFormat="false" ht="15" hidden="false" customHeight="true" outlineLevel="0" collapsed="false">
      <c r="A26" s="6" t="s">
        <v>62</v>
      </c>
      <c r="B26" s="7" t="s">
        <v>63</v>
      </c>
      <c r="C26" s="12" t="n">
        <v>0.15</v>
      </c>
      <c r="D26" s="7"/>
      <c r="E26" s="9" t="s">
        <v>64</v>
      </c>
    </row>
    <row r="27" customFormat="false" ht="15" hidden="false" customHeight="true" outlineLevel="0" collapsed="false">
      <c r="A27" s="6" t="s">
        <v>65</v>
      </c>
      <c r="B27" s="7" t="s">
        <v>66</v>
      </c>
      <c r="C27" s="13" t="n">
        <f aca="false">1-C25-C26</f>
        <v>0.05</v>
      </c>
      <c r="D27" s="7"/>
      <c r="E27" s="9" t="s">
        <v>67</v>
      </c>
    </row>
    <row r="29" customFormat="false" ht="15" hidden="false" customHeight="true" outlineLevel="0" collapsed="false">
      <c r="A29" s="5"/>
      <c r="B29" s="5" t="s">
        <v>68</v>
      </c>
      <c r="C29" s="5"/>
      <c r="D29" s="5"/>
      <c r="E29" s="5"/>
    </row>
    <row r="30" customFormat="false" ht="26.25" hidden="false" customHeight="true" outlineLevel="0" collapsed="false">
      <c r="A30" s="4" t="s">
        <v>2</v>
      </c>
      <c r="B30" s="4" t="s">
        <v>69</v>
      </c>
      <c r="C30" s="4" t="s">
        <v>70</v>
      </c>
      <c r="D30" s="4" t="s">
        <v>71</v>
      </c>
      <c r="E30" s="4" t="s">
        <v>72</v>
      </c>
      <c r="F30" s="4" t="s">
        <v>73</v>
      </c>
      <c r="G30" s="4" t="s">
        <v>74</v>
      </c>
      <c r="H30" s="4" t="s">
        <v>75</v>
      </c>
    </row>
    <row r="31" customFormat="false" ht="15" hidden="false" customHeight="true" outlineLevel="0" collapsed="false">
      <c r="A31" s="6" t="s">
        <v>76</v>
      </c>
      <c r="B31" s="7" t="s">
        <v>77</v>
      </c>
      <c r="C31" s="12" t="n">
        <v>0.32</v>
      </c>
      <c r="D31" s="12" t="n">
        <v>0.77</v>
      </c>
      <c r="E31" s="12" t="n">
        <v>0.22</v>
      </c>
      <c r="F31" s="12" t="n">
        <v>0.01</v>
      </c>
      <c r="G31" s="10" t="n">
        <v>5.54</v>
      </c>
      <c r="H31" s="9" t="s">
        <v>78</v>
      </c>
    </row>
    <row r="32" customFormat="false" ht="15" hidden="false" customHeight="true" outlineLevel="0" collapsed="false">
      <c r="A32" s="6" t="s">
        <v>79</v>
      </c>
      <c r="B32" s="7" t="s">
        <v>80</v>
      </c>
      <c r="C32" s="12" t="n">
        <v>0.2</v>
      </c>
      <c r="D32" s="12" t="n">
        <v>0.77</v>
      </c>
      <c r="E32" s="12" t="n">
        <v>0.22</v>
      </c>
      <c r="F32" s="12" t="n">
        <v>0.01</v>
      </c>
      <c r="G32" s="10" t="n">
        <v>5.54</v>
      </c>
      <c r="H32" s="9" t="s">
        <v>78</v>
      </c>
    </row>
    <row r="33" customFormat="false" ht="15" hidden="false" customHeight="true" outlineLevel="0" collapsed="false">
      <c r="A33" s="6" t="s">
        <v>81</v>
      </c>
      <c r="B33" s="7" t="s">
        <v>82</v>
      </c>
      <c r="C33" s="12" t="n">
        <v>0.2</v>
      </c>
      <c r="D33" s="12" t="n">
        <v>0.8</v>
      </c>
      <c r="E33" s="12" t="n">
        <v>0.18</v>
      </c>
      <c r="F33" s="12" t="n">
        <v>0.02</v>
      </c>
      <c r="G33" s="10" t="n">
        <v>5.54</v>
      </c>
      <c r="H33" s="9" t="s">
        <v>83</v>
      </c>
    </row>
    <row r="34" customFormat="false" ht="15" hidden="false" customHeight="true" outlineLevel="0" collapsed="false">
      <c r="A34" s="6" t="s">
        <v>84</v>
      </c>
      <c r="B34" s="7" t="s">
        <v>85</v>
      </c>
      <c r="C34" s="12" t="n">
        <v>0.18</v>
      </c>
      <c r="D34" s="12" t="n">
        <v>0.45</v>
      </c>
      <c r="E34" s="12" t="n">
        <v>0.17</v>
      </c>
      <c r="F34" s="12" t="n">
        <v>0.38</v>
      </c>
      <c r="G34" s="10" t="n">
        <v>5.54</v>
      </c>
      <c r="H34" s="9" t="s">
        <v>86</v>
      </c>
    </row>
    <row r="35" customFormat="false" ht="15" hidden="false" customHeight="true" outlineLevel="0" collapsed="false">
      <c r="A35" s="6" t="s">
        <v>87</v>
      </c>
      <c r="B35" s="7" t="s">
        <v>88</v>
      </c>
      <c r="C35" s="12" t="n">
        <v>0.07</v>
      </c>
      <c r="D35" s="12" t="n">
        <v>0.58</v>
      </c>
      <c r="E35" s="12" t="n">
        <v>0.14</v>
      </c>
      <c r="F35" s="12" t="n">
        <v>0.28</v>
      </c>
      <c r="G35" s="10" t="n">
        <v>5.54</v>
      </c>
      <c r="H35" s="9" t="s">
        <v>89</v>
      </c>
    </row>
    <row r="36" customFormat="false" ht="15" hidden="false" customHeight="true" outlineLevel="0" collapsed="false">
      <c r="A36" s="6" t="s">
        <v>90</v>
      </c>
      <c r="B36" s="7" t="s">
        <v>91</v>
      </c>
      <c r="C36" s="12" t="n">
        <v>0.02</v>
      </c>
      <c r="D36" s="12" t="n">
        <v>0.32</v>
      </c>
      <c r="E36" s="12" t="n">
        <v>0.02</v>
      </c>
      <c r="F36" s="12" t="n">
        <v>0.13</v>
      </c>
      <c r="G36" s="10" t="n">
        <v>5.54</v>
      </c>
      <c r="H36" s="9" t="s">
        <v>86</v>
      </c>
    </row>
    <row r="37" customFormat="false" ht="15" hidden="false" customHeight="true" outlineLevel="0" collapsed="false">
      <c r="A37" s="6" t="s">
        <v>92</v>
      </c>
      <c r="B37" s="7" t="s">
        <v>93</v>
      </c>
      <c r="C37" s="12" t="n">
        <v>0.005</v>
      </c>
      <c r="D37" s="12" t="n">
        <v>0.55</v>
      </c>
      <c r="E37" s="12" t="n">
        <v>0.18</v>
      </c>
      <c r="F37" s="12" t="n">
        <v>0.27</v>
      </c>
      <c r="G37" s="10" t="n">
        <v>5.54</v>
      </c>
      <c r="H37" s="9" t="s">
        <v>86</v>
      </c>
    </row>
    <row r="38" customFormat="false" ht="15" hidden="false" customHeight="true" outlineLevel="0" collapsed="false">
      <c r="A38" s="6" t="s">
        <v>94</v>
      </c>
      <c r="B38" s="7" t="s">
        <v>95</v>
      </c>
      <c r="C38" s="12" t="n">
        <v>0.005</v>
      </c>
      <c r="D38" s="12" t="n">
        <v>0.4</v>
      </c>
      <c r="E38" s="12" t="n">
        <v>0.18</v>
      </c>
      <c r="F38" s="12" t="n">
        <v>0.42</v>
      </c>
      <c r="G38" s="10" t="n">
        <v>5.54</v>
      </c>
      <c r="H38" s="9" t="s">
        <v>96</v>
      </c>
    </row>
    <row r="39" customFormat="false" ht="15" hidden="false" customHeight="true" outlineLevel="0" collapsed="false">
      <c r="A39" s="15"/>
      <c r="B39" s="16" t="s">
        <v>97</v>
      </c>
      <c r="C39" s="17" t="n">
        <f aca="false">SUM(C31:C38)</f>
        <v>1</v>
      </c>
      <c r="D39" s="15"/>
      <c r="E39" s="15"/>
      <c r="F39" s="15"/>
      <c r="G39" s="15"/>
      <c r="H39" s="15"/>
    </row>
    <row r="40" customFormat="false" ht="15" hidden="false" customHeight="true" outlineLevel="0" collapsed="false">
      <c r="A40" s="15"/>
      <c r="B40" s="7" t="s">
        <v>98</v>
      </c>
      <c r="C40" s="18" t="str">
        <f aca="false">IF(ABS(C39-1)&lt;0.001,"OK ✓","ERROR")</f>
        <v>OK ✓</v>
      </c>
      <c r="D40" s="15"/>
      <c r="E40" s="15"/>
      <c r="F40" s="15"/>
      <c r="G40" s="15"/>
      <c r="H40" s="15"/>
    </row>
    <row r="42" customFormat="false" ht="15" hidden="false" customHeight="true" outlineLevel="0" collapsed="false">
      <c r="A42" s="5"/>
      <c r="B42" s="5" t="s">
        <v>99</v>
      </c>
      <c r="C42" s="5"/>
      <c r="D42" s="5"/>
      <c r="E42" s="5"/>
    </row>
    <row r="43" customFormat="false" ht="15" hidden="false" customHeight="true" outlineLevel="0" collapsed="false">
      <c r="A43" s="6" t="s">
        <v>100</v>
      </c>
      <c r="B43" s="7" t="s">
        <v>101</v>
      </c>
      <c r="C43" s="12" t="n">
        <v>0.69</v>
      </c>
      <c r="D43" s="7" t="s">
        <v>102</v>
      </c>
      <c r="E43" s="9" t="s">
        <v>103</v>
      </c>
    </row>
    <row r="44" customFormat="false" ht="15" hidden="false" customHeight="true" outlineLevel="0" collapsed="false">
      <c r="A44" s="6" t="s">
        <v>104</v>
      </c>
      <c r="B44" s="7" t="s">
        <v>105</v>
      </c>
      <c r="C44" s="8" t="n">
        <v>0.85</v>
      </c>
      <c r="D44" s="7" t="s">
        <v>106</v>
      </c>
      <c r="E44" s="9" t="s">
        <v>107</v>
      </c>
    </row>
    <row r="45" customFormat="false" ht="15" hidden="false" customHeight="true" outlineLevel="0" collapsed="false">
      <c r="A45" s="6" t="s">
        <v>108</v>
      </c>
      <c r="B45" s="7" t="s">
        <v>109</v>
      </c>
      <c r="C45" s="8" t="n">
        <v>0.5</v>
      </c>
      <c r="D45" s="7" t="s">
        <v>110</v>
      </c>
      <c r="E45" s="9" t="s">
        <v>111</v>
      </c>
    </row>
    <row r="46" customFormat="false" ht="15" hidden="false" customHeight="true" outlineLevel="0" collapsed="false">
      <c r="A46" s="6" t="s">
        <v>112</v>
      </c>
      <c r="B46" s="7" t="s">
        <v>113</v>
      </c>
      <c r="C46" s="8" t="n">
        <v>15</v>
      </c>
      <c r="D46" s="7" t="s">
        <v>110</v>
      </c>
      <c r="E46" s="9" t="s">
        <v>114</v>
      </c>
    </row>
    <row r="47" customFormat="false" ht="15" hidden="false" customHeight="true" outlineLevel="0" collapsed="false">
      <c r="A47" s="6" t="s">
        <v>115</v>
      </c>
      <c r="B47" s="7" t="s">
        <v>116</v>
      </c>
      <c r="C47" s="8" t="n">
        <v>25</v>
      </c>
      <c r="D47" s="7" t="s">
        <v>110</v>
      </c>
      <c r="E47" s="9" t="s">
        <v>117</v>
      </c>
    </row>
    <row r="48" customFormat="false" ht="15" hidden="false" customHeight="true" outlineLevel="0" collapsed="false">
      <c r="A48" s="6" t="s">
        <v>118</v>
      </c>
      <c r="B48" s="7" t="s">
        <v>119</v>
      </c>
      <c r="C48" s="8" t="n">
        <v>2714</v>
      </c>
      <c r="D48" s="7" t="s">
        <v>120</v>
      </c>
      <c r="E48" s="9" t="s">
        <v>121</v>
      </c>
    </row>
    <row r="49" customFormat="false" ht="15" hidden="false" customHeight="true" outlineLevel="0" collapsed="false">
      <c r="A49" s="6" t="s">
        <v>122</v>
      </c>
      <c r="B49" s="7" t="s">
        <v>123</v>
      </c>
      <c r="C49" s="12" t="n">
        <v>0.02</v>
      </c>
      <c r="D49" s="7" t="s">
        <v>102</v>
      </c>
      <c r="E49" s="9" t="s">
        <v>124</v>
      </c>
    </row>
    <row r="51" customFormat="false" ht="15" hidden="false" customHeight="true" outlineLevel="0" collapsed="false">
      <c r="A51" s="5"/>
      <c r="B51" s="5" t="s">
        <v>125</v>
      </c>
      <c r="C51" s="5"/>
      <c r="D51" s="5"/>
      <c r="E51" s="5"/>
    </row>
    <row r="52" customFormat="false" ht="15" hidden="false" customHeight="true" outlineLevel="0" collapsed="false">
      <c r="A52" s="6" t="s">
        <v>126</v>
      </c>
      <c r="B52" s="7" t="s">
        <v>127</v>
      </c>
      <c r="C52" s="19" t="n">
        <f aca="false">SUMPRODUCT(C31:C38,D31:D38)</f>
        <v>0.69315</v>
      </c>
      <c r="D52" s="7" t="s">
        <v>102</v>
      </c>
      <c r="E52" s="9" t="s">
        <v>128</v>
      </c>
    </row>
    <row r="53" customFormat="false" ht="15" hidden="false" customHeight="true" outlineLevel="0" collapsed="false">
      <c r="A53" s="6" t="s">
        <v>129</v>
      </c>
      <c r="B53" s="7" t="s">
        <v>130</v>
      </c>
      <c r="C53" s="19" t="n">
        <f aca="false">SUMPRODUCT(C31:C38,E31:E38)</f>
        <v>0.193</v>
      </c>
      <c r="D53" s="7" t="s">
        <v>102</v>
      </c>
      <c r="E53" s="9" t="s">
        <v>131</v>
      </c>
    </row>
    <row r="54" customFormat="false" ht="15" hidden="false" customHeight="true" outlineLevel="0" collapsed="false">
      <c r="A54" s="6" t="s">
        <v>132</v>
      </c>
      <c r="B54" s="7" t="s">
        <v>133</v>
      </c>
      <c r="C54" s="19" t="n">
        <f aca="false">SUMPRODUCT(C31:C38,F31:F38)</f>
        <v>0.10325</v>
      </c>
      <c r="D54" s="7" t="s">
        <v>102</v>
      </c>
      <c r="E54" s="9" t="s">
        <v>131</v>
      </c>
    </row>
    <row r="55" customFormat="false" ht="15" hidden="false" customHeight="true" outlineLevel="0" collapsed="false">
      <c r="A55" s="6" t="s">
        <v>134</v>
      </c>
      <c r="B55" s="7" t="s">
        <v>135</v>
      </c>
      <c r="C55" s="20" t="n">
        <f aca="false">SUMPRODUCT(C31:C38,G31:G38)</f>
        <v>5.54</v>
      </c>
      <c r="D55" s="7" t="s">
        <v>110</v>
      </c>
      <c r="E55" s="9" t="s">
        <v>131</v>
      </c>
    </row>
    <row r="56" customFormat="false" ht="15" hidden="false" customHeight="true" outlineLevel="0" collapsed="false">
      <c r="A56" s="6" t="s">
        <v>136</v>
      </c>
      <c r="B56" s="7" t="s">
        <v>137</v>
      </c>
      <c r="C56" s="20" t="n">
        <f aca="false">C53*C55</f>
        <v>1.06922</v>
      </c>
      <c r="D56" s="7" t="s">
        <v>110</v>
      </c>
      <c r="E56" s="9" t="s">
        <v>138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50"/>
  </cols>
  <sheetData>
    <row r="1" customFormat="false" ht="15.75" hidden="false" customHeight="true" outlineLevel="0" collapsed="false">
      <c r="A1" s="2" t="s">
        <v>139</v>
      </c>
      <c r="B1" s="2"/>
      <c r="C1" s="2"/>
      <c r="D1" s="2"/>
      <c r="E1" s="2"/>
    </row>
    <row r="2" customFormat="false" ht="15" hidden="false" customHeight="true" outlineLevel="0" collapsed="false">
      <c r="A2" s="3" t="s">
        <v>140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/>
      <c r="B5" s="5" t="s">
        <v>141</v>
      </c>
      <c r="C5" s="5"/>
      <c r="D5" s="5"/>
      <c r="E5" s="5"/>
    </row>
    <row r="6" customFormat="false" ht="15" hidden="false" customHeight="true" outlineLevel="0" collapsed="false">
      <c r="A6" s="6" t="s">
        <v>142</v>
      </c>
      <c r="B6" s="7" t="s">
        <v>143</v>
      </c>
      <c r="C6" s="12" t="n">
        <v>0.7</v>
      </c>
      <c r="D6" s="7"/>
      <c r="E6" s="9" t="s">
        <v>144</v>
      </c>
    </row>
    <row r="7" customFormat="false" ht="15" hidden="false" customHeight="true" outlineLevel="0" collapsed="false">
      <c r="A7" s="6" t="s">
        <v>145</v>
      </c>
      <c r="B7" s="7" t="s">
        <v>146</v>
      </c>
      <c r="C7" s="12" t="n">
        <v>0.12</v>
      </c>
      <c r="D7" s="7"/>
      <c r="E7" s="9" t="s">
        <v>147</v>
      </c>
    </row>
    <row r="8" customFormat="false" ht="15" hidden="false" customHeight="true" outlineLevel="0" collapsed="false">
      <c r="A8" s="6" t="s">
        <v>148</v>
      </c>
      <c r="B8" s="7" t="s">
        <v>149</v>
      </c>
      <c r="C8" s="8" t="n">
        <v>10</v>
      </c>
      <c r="D8" s="7" t="s">
        <v>150</v>
      </c>
      <c r="E8" s="9" t="s">
        <v>151</v>
      </c>
    </row>
    <row r="9" customFormat="false" ht="15" hidden="false" customHeight="true" outlineLevel="0" collapsed="false">
      <c r="A9" s="6" t="s">
        <v>152</v>
      </c>
      <c r="B9" s="7" t="s">
        <v>153</v>
      </c>
      <c r="C9" s="12" t="n">
        <v>0.25</v>
      </c>
      <c r="D9" s="7"/>
      <c r="E9" s="9" t="s">
        <v>154</v>
      </c>
    </row>
    <row r="10" customFormat="false" ht="15" hidden="false" customHeight="true" outlineLevel="0" collapsed="false">
      <c r="A10" s="6" t="s">
        <v>155</v>
      </c>
      <c r="B10" s="7" t="s">
        <v>156</v>
      </c>
      <c r="C10" s="8" t="n">
        <v>15</v>
      </c>
      <c r="D10" s="7" t="s">
        <v>150</v>
      </c>
      <c r="E10" s="9" t="s">
        <v>157</v>
      </c>
    </row>
    <row r="11" customFormat="false" ht="15" hidden="false" customHeight="true" outlineLevel="0" collapsed="false">
      <c r="A11" s="6" t="s">
        <v>158</v>
      </c>
      <c r="B11" s="7" t="s">
        <v>159</v>
      </c>
      <c r="C11" s="12" t="n">
        <v>0.02</v>
      </c>
      <c r="D11" s="7"/>
      <c r="E11" s="9" t="s">
        <v>160</v>
      </c>
    </row>
    <row r="12" customFormat="false" ht="15" hidden="false" customHeight="true" outlineLevel="0" collapsed="false">
      <c r="A12" s="6" t="s">
        <v>161</v>
      </c>
      <c r="B12" s="7" t="s">
        <v>162</v>
      </c>
      <c r="C12" s="12" t="n">
        <v>0.1</v>
      </c>
      <c r="D12" s="7"/>
      <c r="E12" s="9" t="s">
        <v>163</v>
      </c>
    </row>
    <row r="13" customFormat="false" ht="15" hidden="false" customHeight="true" outlineLevel="0" collapsed="false">
      <c r="A13" s="6" t="s">
        <v>164</v>
      </c>
      <c r="B13" s="7" t="s">
        <v>165</v>
      </c>
      <c r="C13" s="12" t="n">
        <v>0.05</v>
      </c>
      <c r="D13" s="7"/>
      <c r="E13" s="9" t="s">
        <v>166</v>
      </c>
    </row>
    <row r="15" customFormat="false" ht="15" hidden="false" customHeight="true" outlineLevel="0" collapsed="false">
      <c r="A15" s="5"/>
      <c r="B15" s="5" t="s">
        <v>167</v>
      </c>
      <c r="C15" s="5"/>
      <c r="D15" s="5"/>
      <c r="E15" s="5"/>
    </row>
    <row r="16" customFormat="false" ht="15" hidden="false" customHeight="true" outlineLevel="0" collapsed="false">
      <c r="A16" s="6" t="s">
        <v>168</v>
      </c>
      <c r="B16" s="7" t="s">
        <v>169</v>
      </c>
      <c r="C16" s="21" t="n">
        <v>100</v>
      </c>
      <c r="D16" s="7" t="s">
        <v>170</v>
      </c>
      <c r="E16" s="9" t="s">
        <v>171</v>
      </c>
    </row>
    <row r="17" customFormat="false" ht="15" hidden="false" customHeight="true" outlineLevel="0" collapsed="false">
      <c r="A17" s="6" t="s">
        <v>172</v>
      </c>
      <c r="B17" s="7" t="s">
        <v>173</v>
      </c>
      <c r="C17" s="21" t="n">
        <v>120</v>
      </c>
      <c r="D17" s="7" t="s">
        <v>170</v>
      </c>
      <c r="E17" s="9" t="s">
        <v>174</v>
      </c>
    </row>
    <row r="18" customFormat="false" ht="15" hidden="false" customHeight="true" outlineLevel="0" collapsed="false">
      <c r="A18" s="6" t="s">
        <v>175</v>
      </c>
      <c r="B18" s="7" t="s">
        <v>176</v>
      </c>
      <c r="C18" s="21" t="n">
        <v>150</v>
      </c>
      <c r="D18" s="7" t="s">
        <v>170</v>
      </c>
      <c r="E18" s="9" t="s">
        <v>177</v>
      </c>
    </row>
    <row r="19" customFormat="false" ht="15" hidden="false" customHeight="true" outlineLevel="0" collapsed="false">
      <c r="A19" s="6" t="s">
        <v>178</v>
      </c>
      <c r="B19" s="7" t="s">
        <v>179</v>
      </c>
      <c r="C19" s="21" t="n">
        <v>130</v>
      </c>
      <c r="D19" s="7" t="s">
        <v>170</v>
      </c>
      <c r="E19" s="9" t="s">
        <v>180</v>
      </c>
    </row>
    <row r="20" customFormat="false" ht="15" hidden="false" customHeight="true" outlineLevel="0" collapsed="false">
      <c r="A20" s="6" t="s">
        <v>181</v>
      </c>
      <c r="B20" s="7" t="s">
        <v>182</v>
      </c>
      <c r="C20" s="21" t="n">
        <v>800</v>
      </c>
      <c r="D20" s="7" t="s">
        <v>170</v>
      </c>
      <c r="E20" s="9" t="s">
        <v>183</v>
      </c>
    </row>
    <row r="21" customFormat="false" ht="15" hidden="false" customHeight="true" outlineLevel="0" collapsed="false">
      <c r="A21" s="6" t="s">
        <v>184</v>
      </c>
      <c r="B21" s="7" t="s">
        <v>185</v>
      </c>
      <c r="C21" s="21" t="n">
        <v>30</v>
      </c>
      <c r="D21" s="7" t="s">
        <v>170</v>
      </c>
      <c r="E21" s="9" t="s">
        <v>186</v>
      </c>
    </row>
    <row r="22" customFormat="false" ht="15" hidden="false" customHeight="true" outlineLevel="0" collapsed="false">
      <c r="A22" s="6" t="s">
        <v>187</v>
      </c>
      <c r="B22" s="7" t="s">
        <v>188</v>
      </c>
      <c r="C22" s="21" t="n">
        <v>110</v>
      </c>
      <c r="D22" s="7" t="s">
        <v>170</v>
      </c>
      <c r="E22" s="9" t="s">
        <v>189</v>
      </c>
    </row>
    <row r="24" customFormat="false" ht="15" hidden="false" customHeight="true" outlineLevel="0" collapsed="false">
      <c r="A24" s="5"/>
      <c r="B24" s="5" t="s">
        <v>190</v>
      </c>
      <c r="C24" s="5"/>
      <c r="D24" s="5"/>
      <c r="E24" s="5"/>
    </row>
    <row r="25" customFormat="false" ht="26.25" hidden="false" customHeight="true" outlineLevel="0" collapsed="false">
      <c r="A25" s="4" t="s">
        <v>2</v>
      </c>
      <c r="B25" s="4" t="s">
        <v>191</v>
      </c>
      <c r="C25" s="4" t="s">
        <v>192</v>
      </c>
      <c r="D25" s="4" t="s">
        <v>193</v>
      </c>
      <c r="E25" s="4" t="s">
        <v>194</v>
      </c>
      <c r="F25" s="4" t="s">
        <v>195</v>
      </c>
      <c r="G25" s="4" t="s">
        <v>75</v>
      </c>
    </row>
    <row r="26" customFormat="false" ht="15" hidden="false" customHeight="true" outlineLevel="0" collapsed="false">
      <c r="A26" s="6" t="s">
        <v>196</v>
      </c>
      <c r="B26" s="7" t="s">
        <v>197</v>
      </c>
      <c r="C26" s="12" t="n">
        <v>0.1</v>
      </c>
      <c r="D26" s="21" t="n">
        <v>450</v>
      </c>
      <c r="E26" s="21" t="n">
        <v>600</v>
      </c>
      <c r="F26" s="21" t="n">
        <v>800</v>
      </c>
      <c r="G26" s="9" t="s">
        <v>198</v>
      </c>
    </row>
    <row r="27" customFormat="false" ht="15" hidden="false" customHeight="true" outlineLevel="0" collapsed="false">
      <c r="A27" s="6" t="s">
        <v>199</v>
      </c>
      <c r="B27" s="7" t="s">
        <v>200</v>
      </c>
      <c r="C27" s="12" t="n">
        <v>0.8</v>
      </c>
      <c r="D27" s="21" t="n">
        <v>500</v>
      </c>
      <c r="E27" s="21" t="n">
        <v>670</v>
      </c>
      <c r="F27" s="21" t="n">
        <v>950</v>
      </c>
      <c r="G27" s="9" t="s">
        <v>201</v>
      </c>
    </row>
    <row r="28" customFormat="false" ht="15" hidden="false" customHeight="true" outlineLevel="0" collapsed="false">
      <c r="A28" s="6" t="s">
        <v>202</v>
      </c>
      <c r="B28" s="7" t="s">
        <v>203</v>
      </c>
      <c r="C28" s="12" t="n">
        <v>0.1</v>
      </c>
      <c r="D28" s="21" t="n">
        <v>350</v>
      </c>
      <c r="E28" s="21" t="n">
        <v>450</v>
      </c>
      <c r="F28" s="21" t="n">
        <v>550</v>
      </c>
      <c r="G28" s="9" t="s">
        <v>204</v>
      </c>
    </row>
    <row r="29" customFormat="false" ht="15" hidden="false" customHeight="true" outlineLevel="0" collapsed="false">
      <c r="A29" s="15"/>
      <c r="B29" s="16" t="s">
        <v>205</v>
      </c>
      <c r="C29" s="17" t="n">
        <f aca="false">SUM(C26:C28)</f>
        <v>1</v>
      </c>
      <c r="D29" s="15"/>
      <c r="E29" s="15"/>
      <c r="F29" s="15"/>
      <c r="G29" s="15"/>
    </row>
    <row r="31" customFormat="false" ht="15" hidden="false" customHeight="true" outlineLevel="0" collapsed="false">
      <c r="A31" s="5"/>
      <c r="B31" s="5" t="s">
        <v>206</v>
      </c>
      <c r="C31" s="5"/>
      <c r="D31" s="5"/>
      <c r="E31" s="5"/>
    </row>
    <row r="32" customFormat="false" ht="15" hidden="false" customHeight="true" outlineLevel="0" collapsed="false">
      <c r="A32" s="6" t="s">
        <v>207</v>
      </c>
      <c r="B32" s="7" t="s">
        <v>208</v>
      </c>
      <c r="C32" s="22" t="n">
        <v>2</v>
      </c>
      <c r="D32" s="7"/>
      <c r="E32" s="9" t="s">
        <v>209</v>
      </c>
    </row>
    <row r="33" customFormat="false" ht="15" hidden="false" customHeight="true" outlineLevel="0" collapsed="false">
      <c r="A33" s="6" t="s">
        <v>210</v>
      </c>
      <c r="B33" s="7" t="s">
        <v>211</v>
      </c>
      <c r="C33" s="11" t="n">
        <f aca="false">IF(C32=1,SUMPRODUCT(C26:C28,D26:D28),IF(C32=2,SUMPRODUCT(C26:C28,E26:E28),SUMPRODUCT(C26:C28,F26:F28)))</f>
        <v>641</v>
      </c>
      <c r="D33" s="7" t="s">
        <v>170</v>
      </c>
      <c r="E33" s="9" t="s">
        <v>212</v>
      </c>
    </row>
    <row r="34" customFormat="false" ht="15" hidden="false" customHeight="true" outlineLevel="0" collapsed="false">
      <c r="A34" s="6" t="s">
        <v>213</v>
      </c>
      <c r="B34" s="7" t="s">
        <v>214</v>
      </c>
      <c r="C34" s="20" t="n">
        <f aca="false">C33*'1-Waste Input'!C44/1000</f>
        <v>0.54485</v>
      </c>
      <c r="D34" s="7" t="s">
        <v>215</v>
      </c>
      <c r="E34" s="9" t="s">
        <v>216</v>
      </c>
    </row>
    <row r="36" customFormat="false" ht="15" hidden="false" customHeight="true" outlineLevel="0" collapsed="false">
      <c r="B36" s="23" t="s">
        <v>217</v>
      </c>
    </row>
    <row r="37" customFormat="false" ht="15" hidden="false" customHeight="true" outlineLevel="0" collapsed="false">
      <c r="B37" s="24" t="s">
        <v>218</v>
      </c>
      <c r="C37" s="25" t="n">
        <f aca="false">SUMPRODUCT(C26:C28,D26:D28)</f>
        <v>480</v>
      </c>
      <c r="D37" s="1" t="s">
        <v>170</v>
      </c>
    </row>
    <row r="38" customFormat="false" ht="15" hidden="false" customHeight="true" outlineLevel="0" collapsed="false">
      <c r="B38" s="24" t="s">
        <v>219</v>
      </c>
      <c r="C38" s="25" t="n">
        <f aca="false">SUMPRODUCT(C26:C28,E26:E28)</f>
        <v>641</v>
      </c>
      <c r="D38" s="1" t="s">
        <v>170</v>
      </c>
    </row>
    <row r="39" customFormat="false" ht="15" hidden="false" customHeight="true" outlineLevel="0" collapsed="false">
      <c r="B39" s="24" t="s">
        <v>220</v>
      </c>
      <c r="C39" s="25" t="n">
        <f aca="false">SUMPRODUCT(C26:C28,F26:F28)</f>
        <v>895</v>
      </c>
      <c r="D39" s="1" t="s">
        <v>170</v>
      </c>
    </row>
    <row r="41" customFormat="false" ht="15" hidden="false" customHeight="true" outlineLevel="0" collapsed="false">
      <c r="A41" s="5"/>
      <c r="B41" s="5" t="s">
        <v>221</v>
      </c>
      <c r="C41" s="5"/>
      <c r="D41" s="5"/>
      <c r="E41" s="5"/>
    </row>
    <row r="42" customFormat="false" ht="15" hidden="false" customHeight="true" outlineLevel="0" collapsed="false">
      <c r="A42" s="6" t="s">
        <v>222</v>
      </c>
      <c r="B42" s="7" t="s">
        <v>223</v>
      </c>
      <c r="C42" s="21" t="n">
        <v>30</v>
      </c>
      <c r="D42" s="7" t="s">
        <v>170</v>
      </c>
      <c r="E42" s="9" t="s">
        <v>224</v>
      </c>
    </row>
    <row r="43" customFormat="false" ht="15" hidden="false" customHeight="true" outlineLevel="0" collapsed="false">
      <c r="A43" s="6" t="s">
        <v>225</v>
      </c>
      <c r="B43" s="7" t="s">
        <v>226</v>
      </c>
      <c r="C43" s="21" t="n">
        <v>100</v>
      </c>
      <c r="D43" s="7" t="s">
        <v>170</v>
      </c>
      <c r="E43" s="9" t="s">
        <v>227</v>
      </c>
    </row>
    <row r="44" customFormat="false" ht="15" hidden="false" customHeight="true" outlineLevel="0" collapsed="false">
      <c r="A44" s="6" t="s">
        <v>228</v>
      </c>
      <c r="B44" s="7" t="s">
        <v>229</v>
      </c>
      <c r="C44" s="21" t="n">
        <v>350</v>
      </c>
      <c r="D44" s="7" t="s">
        <v>170</v>
      </c>
      <c r="E44" s="9" t="s">
        <v>230</v>
      </c>
    </row>
    <row r="45" customFormat="false" ht="15" hidden="false" customHeight="true" outlineLevel="0" collapsed="false">
      <c r="A45" s="6" t="s">
        <v>231</v>
      </c>
      <c r="B45" s="7" t="s">
        <v>232</v>
      </c>
      <c r="C45" s="22" t="n">
        <v>2</v>
      </c>
      <c r="D45" s="7"/>
      <c r="E45" s="9" t="s">
        <v>233</v>
      </c>
    </row>
    <row r="46" customFormat="false" ht="15" hidden="false" customHeight="true" outlineLevel="0" collapsed="false">
      <c r="A46" s="6" t="s">
        <v>234</v>
      </c>
      <c r="B46" s="7" t="s">
        <v>235</v>
      </c>
      <c r="C46" s="11" t="n">
        <f aca="false">IF(C45=1,C42,IF(C45=2,C43,C44))</f>
        <v>100</v>
      </c>
      <c r="D46" s="7" t="s">
        <v>170</v>
      </c>
      <c r="E46" s="9" t="s">
        <v>236</v>
      </c>
    </row>
    <row r="48" customFormat="false" ht="15" hidden="false" customHeight="true" outlineLevel="0" collapsed="false">
      <c r="A48" s="5"/>
      <c r="B48" s="5" t="s">
        <v>237</v>
      </c>
      <c r="C48" s="5"/>
      <c r="D48" s="5"/>
      <c r="E48" s="5"/>
    </row>
    <row r="49" customFormat="false" ht="15" hidden="false" customHeight="true" outlineLevel="0" collapsed="false">
      <c r="A49" s="6" t="s">
        <v>238</v>
      </c>
      <c r="B49" s="7" t="s">
        <v>239</v>
      </c>
      <c r="C49" s="21" t="n">
        <v>250</v>
      </c>
      <c r="D49" s="7" t="s">
        <v>170</v>
      </c>
      <c r="E49" s="9" t="s">
        <v>240</v>
      </c>
    </row>
    <row r="50" customFormat="false" ht="15" hidden="false" customHeight="true" outlineLevel="0" collapsed="false">
      <c r="A50" s="6" t="s">
        <v>241</v>
      </c>
      <c r="B50" s="7" t="s">
        <v>242</v>
      </c>
      <c r="C50" s="21" t="n">
        <v>1400</v>
      </c>
      <c r="D50" s="7" t="s">
        <v>170</v>
      </c>
      <c r="E50" s="9" t="s">
        <v>243</v>
      </c>
    </row>
    <row r="51" customFormat="false" ht="15" hidden="false" customHeight="true" outlineLevel="0" collapsed="false">
      <c r="A51" s="6" t="s">
        <v>244</v>
      </c>
      <c r="B51" s="7" t="s">
        <v>245</v>
      </c>
      <c r="C51" s="21" t="n">
        <v>500</v>
      </c>
      <c r="D51" s="7" t="s">
        <v>170</v>
      </c>
      <c r="E51" s="9" t="s">
        <v>67</v>
      </c>
    </row>
    <row r="52" customFormat="false" ht="15" hidden="false" customHeight="true" outlineLevel="0" collapsed="false">
      <c r="A52" s="6" t="s">
        <v>246</v>
      </c>
      <c r="B52" s="7" t="s">
        <v>247</v>
      </c>
      <c r="C52" s="21" t="n">
        <v>300</v>
      </c>
      <c r="D52" s="7" t="s">
        <v>170</v>
      </c>
      <c r="E52" s="9" t="s">
        <v>248</v>
      </c>
    </row>
    <row r="53" customFormat="false" ht="15" hidden="false" customHeight="true" outlineLevel="0" collapsed="false">
      <c r="A53" s="6" t="s">
        <v>249</v>
      </c>
      <c r="B53" s="7" t="s">
        <v>250</v>
      </c>
      <c r="C53" s="21" t="n">
        <v>30</v>
      </c>
      <c r="D53" s="7" t="s">
        <v>170</v>
      </c>
      <c r="E53" s="9" t="s">
        <v>251</v>
      </c>
    </row>
    <row r="55" customFormat="false" ht="15" hidden="false" customHeight="true" outlineLevel="0" collapsed="false">
      <c r="A55" s="5"/>
      <c r="B55" s="5" t="s">
        <v>252</v>
      </c>
      <c r="C55" s="5"/>
      <c r="D55" s="5"/>
      <c r="E55" s="5"/>
    </row>
    <row r="56" customFormat="false" ht="15" hidden="false" customHeight="true" outlineLevel="0" collapsed="false">
      <c r="A56" s="6" t="s">
        <v>253</v>
      </c>
      <c r="B56" s="7" t="s">
        <v>254</v>
      </c>
      <c r="C56" s="21" t="n">
        <v>110</v>
      </c>
      <c r="D56" s="7" t="s">
        <v>170</v>
      </c>
      <c r="E56" s="9" t="s">
        <v>255</v>
      </c>
    </row>
    <row r="57" customFormat="false" ht="15" hidden="false" customHeight="true" outlineLevel="0" collapsed="false">
      <c r="A57" s="6" t="s">
        <v>256</v>
      </c>
      <c r="B57" s="7" t="s">
        <v>257</v>
      </c>
      <c r="C57" s="10" t="n">
        <v>0.4</v>
      </c>
      <c r="D57" s="7" t="s">
        <v>215</v>
      </c>
      <c r="E57" s="9" t="s">
        <v>258</v>
      </c>
    </row>
    <row r="58" customFormat="false" ht="15" hidden="false" customHeight="true" outlineLevel="0" collapsed="false">
      <c r="A58" s="6" t="s">
        <v>259</v>
      </c>
      <c r="B58" s="7" t="s">
        <v>260</v>
      </c>
      <c r="C58" s="10" t="n">
        <v>0.15</v>
      </c>
      <c r="D58" s="7" t="s">
        <v>261</v>
      </c>
      <c r="E58" s="9" t="s">
        <v>262</v>
      </c>
    </row>
    <row r="59" customFormat="false" ht="15" hidden="false" customHeight="true" outlineLevel="0" collapsed="false">
      <c r="A59" s="26"/>
      <c r="B59" s="1" t="s">
        <v>263</v>
      </c>
      <c r="C59" s="27"/>
      <c r="E59" s="1" t="s">
        <v>264</v>
      </c>
    </row>
    <row r="60" customFormat="false" ht="15" hidden="false" customHeight="true" outlineLevel="0" collapsed="false">
      <c r="A60" s="5"/>
      <c r="B60" s="5" t="s">
        <v>265</v>
      </c>
      <c r="C60" s="5"/>
      <c r="D60" s="5"/>
      <c r="E60" s="5"/>
    </row>
    <row r="61" customFormat="false" ht="15" hidden="false" customHeight="true" outlineLevel="0" collapsed="false">
      <c r="A61" s="6" t="s">
        <v>266</v>
      </c>
      <c r="B61" s="7" t="s">
        <v>267</v>
      </c>
      <c r="C61" s="21" t="n">
        <v>50</v>
      </c>
      <c r="D61" s="7" t="s">
        <v>268</v>
      </c>
      <c r="E61" s="9" t="s">
        <v>269</v>
      </c>
    </row>
    <row r="62" customFormat="false" ht="15" hidden="false" customHeight="true" outlineLevel="0" collapsed="false">
      <c r="A62" s="6" t="s">
        <v>270</v>
      </c>
      <c r="B62" s="7" t="s">
        <v>271</v>
      </c>
      <c r="C62" s="10" t="n">
        <v>1.8</v>
      </c>
      <c r="D62" s="7" t="s">
        <v>272</v>
      </c>
      <c r="E62" s="9" t="s">
        <v>273</v>
      </c>
    </row>
    <row r="63" customFormat="false" ht="15" hidden="false" customHeight="true" outlineLevel="0" collapsed="false">
      <c r="A63" s="6" t="s">
        <v>274</v>
      </c>
      <c r="B63" s="7" t="s">
        <v>275</v>
      </c>
      <c r="C63" s="10" t="n">
        <v>2.68</v>
      </c>
      <c r="D63" s="7" t="s">
        <v>276</v>
      </c>
      <c r="E63" s="9" t="s">
        <v>277</v>
      </c>
    </row>
    <row r="65" customFormat="false" ht="15" hidden="false" customHeight="true" outlineLevel="0" collapsed="false">
      <c r="A65" s="5"/>
      <c r="B65" s="5" t="s">
        <v>278</v>
      </c>
      <c r="C65" s="5"/>
      <c r="D65" s="5"/>
      <c r="E65" s="5"/>
    </row>
    <row r="66" customFormat="false" ht="15" hidden="false" customHeight="true" outlineLevel="0" collapsed="false">
      <c r="A66" s="6" t="s">
        <v>279</v>
      </c>
      <c r="B66" s="7" t="s">
        <v>280</v>
      </c>
      <c r="C66" s="21" t="n">
        <v>10</v>
      </c>
      <c r="D66" s="7" t="s">
        <v>281</v>
      </c>
      <c r="E66" s="9" t="s">
        <v>282</v>
      </c>
    </row>
    <row r="67" customFormat="false" ht="15" hidden="false" customHeight="true" outlineLevel="0" collapsed="false">
      <c r="A67" s="6" t="s">
        <v>283</v>
      </c>
      <c r="B67" s="7" t="s">
        <v>284</v>
      </c>
      <c r="C67" s="21" t="n">
        <v>3</v>
      </c>
      <c r="D67" s="7" t="s">
        <v>281</v>
      </c>
      <c r="E67" s="9" t="s">
        <v>285</v>
      </c>
    </row>
    <row r="68" customFormat="false" ht="15" hidden="false" customHeight="true" outlineLevel="0" collapsed="false">
      <c r="A68" s="6" t="s">
        <v>286</v>
      </c>
      <c r="B68" s="7" t="s">
        <v>287</v>
      </c>
      <c r="C68" s="21" t="n">
        <v>2</v>
      </c>
      <c r="D68" s="7" t="s">
        <v>281</v>
      </c>
      <c r="E68" s="9" t="s">
        <v>288</v>
      </c>
    </row>
    <row r="69" customFormat="false" ht="15" hidden="false" customHeight="true" outlineLevel="0" collapsed="false">
      <c r="A69" s="6" t="s">
        <v>289</v>
      </c>
      <c r="B69" s="7" t="s">
        <v>290</v>
      </c>
      <c r="C69" s="21" t="n">
        <v>56000</v>
      </c>
      <c r="D69" s="7" t="s">
        <v>291</v>
      </c>
      <c r="E69" s="9" t="s">
        <v>292</v>
      </c>
    </row>
    <row r="70" customFormat="false" ht="15" hidden="false" customHeight="true" outlineLevel="0" collapsed="false">
      <c r="A70" s="6" t="s">
        <v>293</v>
      </c>
      <c r="B70" s="7" t="s">
        <v>294</v>
      </c>
      <c r="C70" s="21" t="n">
        <v>4</v>
      </c>
      <c r="D70" s="7" t="s">
        <v>281</v>
      </c>
      <c r="E70" s="9" t="s">
        <v>295</v>
      </c>
    </row>
    <row r="71" customFormat="false" ht="15" hidden="false" customHeight="true" outlineLevel="0" collapsed="false">
      <c r="A71" s="6" t="s">
        <v>296</v>
      </c>
      <c r="B71" s="7" t="s">
        <v>297</v>
      </c>
      <c r="C71" s="21" t="n">
        <v>3</v>
      </c>
      <c r="D71" s="7" t="s">
        <v>281</v>
      </c>
      <c r="E71" s="9" t="s">
        <v>298</v>
      </c>
    </row>
    <row r="72" customFormat="false" ht="15" hidden="false" customHeight="true" outlineLevel="0" collapsed="false">
      <c r="A72" s="6" t="s">
        <v>299</v>
      </c>
      <c r="B72" s="7" t="s">
        <v>300</v>
      </c>
      <c r="C72" s="12" t="n">
        <v>0.04</v>
      </c>
      <c r="D72" s="7"/>
      <c r="E72" s="9" t="s">
        <v>301</v>
      </c>
    </row>
    <row r="73" customFormat="false" ht="15" hidden="false" customHeight="true" outlineLevel="0" collapsed="false">
      <c r="A73" s="6" t="s">
        <v>302</v>
      </c>
      <c r="B73" s="7" t="s">
        <v>303</v>
      </c>
      <c r="C73" s="12" t="n">
        <v>0.02</v>
      </c>
      <c r="D73" s="7"/>
      <c r="E73" s="9" t="s">
        <v>304</v>
      </c>
    </row>
    <row r="74" customFormat="false" ht="15" hidden="false" customHeight="true" outlineLevel="0" collapsed="false">
      <c r="A74" s="6" t="s">
        <v>305</v>
      </c>
      <c r="B74" s="7" t="s">
        <v>306</v>
      </c>
      <c r="C74" s="21" t="n">
        <v>4800</v>
      </c>
      <c r="D74" s="7" t="s">
        <v>307</v>
      </c>
      <c r="E74" s="9" t="s">
        <v>308</v>
      </c>
    </row>
    <row r="75" customFormat="false" ht="15" hidden="false" customHeight="true" outlineLevel="0" collapsed="false">
      <c r="A75" s="6" t="s">
        <v>309</v>
      </c>
      <c r="B75" s="7" t="s">
        <v>310</v>
      </c>
      <c r="C75" s="12" t="n">
        <v>0.005</v>
      </c>
      <c r="D75" s="7"/>
      <c r="E75" s="9" t="s">
        <v>311</v>
      </c>
    </row>
    <row r="77" customFormat="false" ht="15" hidden="false" customHeight="true" outlineLevel="0" collapsed="false">
      <c r="A77" s="5"/>
      <c r="B77" s="5" t="s">
        <v>312</v>
      </c>
      <c r="C77" s="5"/>
      <c r="D77" s="5"/>
      <c r="E77" s="5"/>
    </row>
    <row r="78" customFormat="false" ht="15" hidden="false" customHeight="true" outlineLevel="0" collapsed="false">
      <c r="A78" s="6" t="s">
        <v>313</v>
      </c>
      <c r="B78" s="7" t="s">
        <v>314</v>
      </c>
      <c r="C78" s="21" t="n">
        <v>250</v>
      </c>
      <c r="D78" s="7" t="s">
        <v>170</v>
      </c>
      <c r="E78" s="9" t="s">
        <v>315</v>
      </c>
    </row>
    <row r="79" customFormat="false" ht="15" hidden="false" customHeight="true" outlineLevel="0" collapsed="false">
      <c r="A79" s="6" t="s">
        <v>316</v>
      </c>
      <c r="B79" s="7" t="s">
        <v>317</v>
      </c>
      <c r="C79" s="21" t="n">
        <v>300</v>
      </c>
      <c r="D79" s="7" t="s">
        <v>170</v>
      </c>
      <c r="E79" s="9" t="s">
        <v>318</v>
      </c>
    </row>
    <row r="80" customFormat="false" ht="15" hidden="false" customHeight="true" outlineLevel="0" collapsed="false">
      <c r="A80" s="6" t="s">
        <v>319</v>
      </c>
      <c r="B80" s="7" t="s">
        <v>320</v>
      </c>
      <c r="C80" s="21" t="n">
        <v>80</v>
      </c>
      <c r="D80" s="7" t="s">
        <v>170</v>
      </c>
      <c r="E80" s="9" t="s">
        <v>321</v>
      </c>
    </row>
    <row r="81" customFormat="false" ht="15" hidden="false" customHeight="true" outlineLevel="0" collapsed="false">
      <c r="A81" s="6" t="s">
        <v>322</v>
      </c>
      <c r="B81" s="7" t="s">
        <v>323</v>
      </c>
      <c r="C81" s="11" t="n">
        <f aca="false">C49</f>
        <v>250</v>
      </c>
      <c r="D81" s="7" t="s">
        <v>170</v>
      </c>
      <c r="E81" s="9" t="s">
        <v>324</v>
      </c>
    </row>
    <row r="82" customFormat="false" ht="15" hidden="false" customHeight="true" outlineLevel="0" collapsed="false">
      <c r="A82" s="6" t="s">
        <v>325</v>
      </c>
      <c r="B82" s="7" t="s">
        <v>326</v>
      </c>
      <c r="C82" s="11" t="n">
        <f aca="false">C50</f>
        <v>1400</v>
      </c>
      <c r="D82" s="7" t="s">
        <v>170</v>
      </c>
      <c r="E82" s="9" t="s">
        <v>327</v>
      </c>
    </row>
    <row r="83" customFormat="false" ht="15" hidden="false" customHeight="true" outlineLevel="0" collapsed="false">
      <c r="A83" s="6" t="s">
        <v>328</v>
      </c>
      <c r="B83" s="7" t="s">
        <v>329</v>
      </c>
      <c r="C83" s="11" t="n">
        <f aca="false">C53</f>
        <v>30</v>
      </c>
      <c r="D83" s="7" t="s">
        <v>170</v>
      </c>
      <c r="E83" s="9" t="s">
        <v>330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50"/>
  </cols>
  <sheetData>
    <row r="1" customFormat="false" ht="15.75" hidden="false" customHeight="true" outlineLevel="0" collapsed="false">
      <c r="A1" s="2" t="s">
        <v>331</v>
      </c>
      <c r="B1" s="2"/>
      <c r="C1" s="2"/>
      <c r="D1" s="2"/>
      <c r="E1" s="2"/>
    </row>
    <row r="2" customFormat="false" ht="15" hidden="false" customHeight="true" outlineLevel="0" collapsed="false">
      <c r="A2" s="3" t="s">
        <v>332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/>
      <c r="B5" s="5" t="s">
        <v>333</v>
      </c>
      <c r="C5" s="5"/>
      <c r="D5" s="5"/>
      <c r="E5" s="5"/>
    </row>
    <row r="6" customFormat="false" ht="15" hidden="false" customHeight="true" outlineLevel="0" collapsed="false">
      <c r="A6" s="6" t="s">
        <v>334</v>
      </c>
      <c r="B6" s="7" t="s">
        <v>335</v>
      </c>
      <c r="C6" s="22" t="n">
        <v>1</v>
      </c>
      <c r="D6" s="7"/>
      <c r="E6" s="9" t="s">
        <v>336</v>
      </c>
    </row>
    <row r="7" customFormat="false" ht="15" hidden="false" customHeight="true" outlineLevel="0" collapsed="false">
      <c r="A7" s="6" t="s">
        <v>337</v>
      </c>
      <c r="B7" s="7" t="s">
        <v>338</v>
      </c>
      <c r="C7" s="22" t="n">
        <v>1</v>
      </c>
      <c r="D7" s="7"/>
      <c r="E7" s="9" t="s">
        <v>339</v>
      </c>
    </row>
    <row r="9" customFormat="false" ht="15" hidden="false" customHeight="true" outlineLevel="0" collapsed="false">
      <c r="B9" s="23" t="s">
        <v>340</v>
      </c>
    </row>
    <row r="10" customFormat="false" ht="15" hidden="false" customHeight="true" outlineLevel="0" collapsed="false">
      <c r="A10" s="6"/>
      <c r="B10" s="7" t="s">
        <v>341</v>
      </c>
      <c r="C10" s="14" t="str">
        <f aca="false">IF(AND(C6=0,C7=0),"No sorting",IF(AND(C6=1,C7=0),"Pre-sorting only",IF(AND(C6=0,C7=1),"Post-sorting only","Pre + Post sorting")))</f>
        <v>Pre + Post sorting</v>
      </c>
      <c r="D10" s="7"/>
      <c r="E10" s="9"/>
    </row>
    <row r="12" customFormat="false" ht="15" hidden="false" customHeight="true" outlineLevel="0" collapsed="false">
      <c r="A12" s="5"/>
      <c r="B12" s="5" t="s">
        <v>342</v>
      </c>
      <c r="C12" s="5"/>
      <c r="D12" s="5"/>
      <c r="E12" s="5"/>
    </row>
    <row r="13" customFormat="false" ht="15" hidden="false" customHeight="true" outlineLevel="0" collapsed="false">
      <c r="A13" s="6" t="s">
        <v>343</v>
      </c>
      <c r="B13" s="7" t="s">
        <v>344</v>
      </c>
      <c r="C13" s="12" t="n">
        <v>0.9</v>
      </c>
      <c r="D13" s="7"/>
      <c r="E13" s="9" t="s">
        <v>345</v>
      </c>
    </row>
    <row r="14" customFormat="false" ht="15" hidden="false" customHeight="true" outlineLevel="0" collapsed="false">
      <c r="A14" s="6" t="s">
        <v>346</v>
      </c>
      <c r="B14" s="7" t="s">
        <v>347</v>
      </c>
      <c r="C14" s="12" t="n">
        <v>0.75</v>
      </c>
      <c r="D14" s="7"/>
      <c r="E14" s="9" t="s">
        <v>348</v>
      </c>
    </row>
    <row r="15" customFormat="false" ht="15" hidden="false" customHeight="true" outlineLevel="0" collapsed="false">
      <c r="A15" s="6" t="s">
        <v>349</v>
      </c>
      <c r="B15" s="7" t="s">
        <v>350</v>
      </c>
      <c r="C15" s="12" t="n">
        <v>0.7</v>
      </c>
      <c r="D15" s="7"/>
      <c r="E15" s="9" t="s">
        <v>351</v>
      </c>
    </row>
    <row r="16" customFormat="false" ht="15" hidden="false" customHeight="true" outlineLevel="0" collapsed="false">
      <c r="A16" s="6" t="s">
        <v>352</v>
      </c>
      <c r="B16" s="7" t="s">
        <v>353</v>
      </c>
      <c r="C16" s="12" t="n">
        <v>0</v>
      </c>
      <c r="D16" s="7"/>
      <c r="E16" s="9" t="s">
        <v>354</v>
      </c>
    </row>
    <row r="17" customFormat="false" ht="15" hidden="false" customHeight="true" outlineLevel="0" collapsed="false">
      <c r="A17" s="6" t="s">
        <v>355</v>
      </c>
      <c r="B17" s="7" t="s">
        <v>356</v>
      </c>
      <c r="C17" s="12" t="n">
        <v>0</v>
      </c>
      <c r="D17" s="7"/>
      <c r="E17" s="9" t="s">
        <v>357</v>
      </c>
    </row>
    <row r="18" customFormat="false" ht="15" hidden="false" customHeight="true" outlineLevel="0" collapsed="false">
      <c r="A18" s="6" t="s">
        <v>358</v>
      </c>
      <c r="B18" s="7" t="s">
        <v>359</v>
      </c>
      <c r="C18" s="12" t="n">
        <v>0.5</v>
      </c>
      <c r="D18" s="7"/>
      <c r="E18" s="9" t="s">
        <v>360</v>
      </c>
    </row>
    <row r="20" customFormat="false" ht="15" hidden="false" customHeight="true" outlineLevel="0" collapsed="false">
      <c r="A20" s="5"/>
      <c r="B20" s="5" t="s">
        <v>361</v>
      </c>
      <c r="C20" s="5"/>
      <c r="D20" s="5"/>
      <c r="E20" s="5"/>
    </row>
    <row r="21" customFormat="false" ht="15" hidden="false" customHeight="true" outlineLevel="0" collapsed="false">
      <c r="A21" s="6" t="s">
        <v>362</v>
      </c>
      <c r="B21" s="7" t="s">
        <v>363</v>
      </c>
      <c r="C21" s="12" t="n">
        <v>0.85</v>
      </c>
      <c r="D21" s="7"/>
      <c r="E21" s="9" t="s">
        <v>364</v>
      </c>
    </row>
    <row r="22" customFormat="false" ht="15" hidden="false" customHeight="true" outlineLevel="0" collapsed="false">
      <c r="A22" s="6" t="s">
        <v>365</v>
      </c>
      <c r="B22" s="7" t="s">
        <v>366</v>
      </c>
      <c r="C22" s="12" t="n">
        <v>0.8</v>
      </c>
      <c r="D22" s="7"/>
      <c r="E22" s="9" t="s">
        <v>367</v>
      </c>
    </row>
    <row r="23" customFormat="false" ht="15" hidden="false" customHeight="true" outlineLevel="0" collapsed="false">
      <c r="A23" s="6" t="s">
        <v>368</v>
      </c>
      <c r="B23" s="7" t="s">
        <v>369</v>
      </c>
      <c r="C23" s="12" t="n">
        <v>0.7</v>
      </c>
      <c r="D23" s="7"/>
      <c r="E23" s="9" t="s">
        <v>370</v>
      </c>
    </row>
    <row r="25" customFormat="false" ht="15" hidden="false" customHeight="true" outlineLevel="0" collapsed="false">
      <c r="A25" s="5"/>
      <c r="B25" s="5" t="s">
        <v>371</v>
      </c>
      <c r="C25" s="5"/>
      <c r="D25" s="5"/>
      <c r="E25" s="5"/>
    </row>
    <row r="26" customFormat="false" ht="15" hidden="false" customHeight="true" outlineLevel="0" collapsed="false">
      <c r="A26" s="6" t="s">
        <v>372</v>
      </c>
      <c r="B26" s="7" t="s">
        <v>373</v>
      </c>
      <c r="C26" s="28" t="s">
        <v>374</v>
      </c>
      <c r="D26" s="7"/>
      <c r="E26" s="9" t="s">
        <v>375</v>
      </c>
    </row>
    <row r="27" customFormat="false" ht="15" hidden="false" customHeight="true" outlineLevel="0" collapsed="false">
      <c r="A27" s="6" t="s">
        <v>376</v>
      </c>
      <c r="B27" s="7" t="s">
        <v>377</v>
      </c>
      <c r="C27" s="29" t="s">
        <v>378</v>
      </c>
      <c r="D27" s="7"/>
      <c r="E27" s="9" t="s">
        <v>379</v>
      </c>
    </row>
    <row r="29" customFormat="false" ht="15" hidden="false" customHeight="true" outlineLevel="0" collapsed="false">
      <c r="A29" s="5"/>
      <c r="B29" s="5" t="s">
        <v>380</v>
      </c>
      <c r="C29" s="5"/>
      <c r="D29" s="5"/>
      <c r="E29" s="5"/>
    </row>
    <row r="30" customFormat="false" ht="15" hidden="false" customHeight="true" outlineLevel="0" collapsed="false">
      <c r="A30" s="6" t="s">
        <v>381</v>
      </c>
      <c r="B30" s="7" t="s">
        <v>382</v>
      </c>
      <c r="C30" s="12" t="n">
        <v>0.7</v>
      </c>
      <c r="D30" s="7"/>
      <c r="E30" s="9" t="s">
        <v>383</v>
      </c>
    </row>
    <row r="31" customFormat="false" ht="15" hidden="false" customHeight="true" outlineLevel="0" collapsed="false">
      <c r="A31" s="6" t="s">
        <v>384</v>
      </c>
      <c r="B31" s="7" t="s">
        <v>385</v>
      </c>
      <c r="C31" s="12" t="n">
        <v>0.85</v>
      </c>
      <c r="D31" s="7"/>
      <c r="E31" s="9" t="s">
        <v>386</v>
      </c>
    </row>
    <row r="32" customFormat="false" ht="15" hidden="false" customHeight="true" outlineLevel="0" collapsed="false">
      <c r="A32" s="6" t="s">
        <v>387</v>
      </c>
      <c r="B32" s="7" t="s">
        <v>388</v>
      </c>
      <c r="C32" s="12" t="n">
        <v>1</v>
      </c>
      <c r="D32" s="7"/>
      <c r="E32" s="9" t="s">
        <v>389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A87" activeCellId="0" sqref="A87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55"/>
  </cols>
  <sheetData>
    <row r="1" customFormat="false" ht="15.75" hidden="false" customHeight="true" outlineLevel="0" collapsed="false">
      <c r="A1" s="2" t="s">
        <v>390</v>
      </c>
      <c r="B1" s="2"/>
      <c r="C1" s="2"/>
      <c r="D1" s="2"/>
      <c r="E1" s="2"/>
    </row>
    <row r="2" customFormat="false" ht="15" hidden="false" customHeight="true" outlineLevel="0" collapsed="false">
      <c r="A2" s="3" t="s">
        <v>391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392</v>
      </c>
      <c r="C4" s="4" t="s">
        <v>4</v>
      </c>
      <c r="D4" s="4" t="s">
        <v>5</v>
      </c>
      <c r="E4" s="4" t="s">
        <v>393</v>
      </c>
    </row>
    <row r="5" customFormat="false" ht="15" hidden="false" customHeight="true" outlineLevel="0" collapsed="false">
      <c r="A5" s="5"/>
      <c r="B5" s="5" t="s">
        <v>394</v>
      </c>
      <c r="C5" s="5"/>
      <c r="D5" s="5"/>
      <c r="E5" s="5"/>
    </row>
    <row r="6" customFormat="false" ht="15" hidden="false" customHeight="true" outlineLevel="0" collapsed="false">
      <c r="A6" s="6" t="s">
        <v>395</v>
      </c>
      <c r="B6" s="7" t="s">
        <v>396</v>
      </c>
      <c r="C6" s="30" t="n">
        <f aca="false">'1-Waste Input'!C8*1000</f>
        <v>140000</v>
      </c>
      <c r="D6" s="7" t="s">
        <v>397</v>
      </c>
      <c r="E6" s="9" t="s">
        <v>398</v>
      </c>
    </row>
    <row r="7" customFormat="false" ht="15" hidden="false" customHeight="true" outlineLevel="0" collapsed="false">
      <c r="A7" s="6" t="s">
        <v>399</v>
      </c>
      <c r="B7" s="7" t="s">
        <v>400</v>
      </c>
      <c r="C7" s="30" t="n">
        <f aca="false">'1-Waste Input'!C49*C6</f>
        <v>2800</v>
      </c>
      <c r="D7" s="7" t="s">
        <v>397</v>
      </c>
      <c r="E7" s="9" t="s">
        <v>401</v>
      </c>
    </row>
    <row r="8" customFormat="false" ht="15" hidden="false" customHeight="true" outlineLevel="0" collapsed="false">
      <c r="A8" s="6" t="s">
        <v>402</v>
      </c>
      <c r="B8" s="7" t="s">
        <v>403</v>
      </c>
      <c r="C8" s="30" t="n">
        <f aca="false">C6-C7</f>
        <v>137200</v>
      </c>
      <c r="D8" s="7" t="s">
        <v>397</v>
      </c>
      <c r="E8" s="9" t="s">
        <v>404</v>
      </c>
    </row>
    <row r="10" customFormat="false" ht="15" hidden="false" customHeight="true" outlineLevel="0" collapsed="false">
      <c r="A10" s="5"/>
      <c r="B10" s="5" t="s">
        <v>405</v>
      </c>
      <c r="C10" s="5"/>
      <c r="D10" s="5"/>
      <c r="E10" s="5"/>
    </row>
    <row r="11" customFormat="false" ht="15" hidden="false" customHeight="true" outlineLevel="0" collapsed="false">
      <c r="A11" s="6" t="s">
        <v>406</v>
      </c>
      <c r="B11" s="7" t="s">
        <v>407</v>
      </c>
      <c r="C11" s="30" t="n">
        <f aca="false">C8*'1-Waste Input'!C15</f>
        <v>41160</v>
      </c>
      <c r="D11" s="7" t="s">
        <v>397</v>
      </c>
      <c r="E11" s="9" t="s">
        <v>408</v>
      </c>
    </row>
    <row r="12" customFormat="false" ht="15" hidden="false" customHeight="true" outlineLevel="0" collapsed="false">
      <c r="A12" s="6" t="s">
        <v>409</v>
      </c>
      <c r="B12" s="7" t="s">
        <v>410</v>
      </c>
      <c r="C12" s="30" t="n">
        <f aca="false">C8*'1-Waste Input'!C16</f>
        <v>64484</v>
      </c>
      <c r="D12" s="7" t="s">
        <v>397</v>
      </c>
      <c r="E12" s="9" t="s">
        <v>411</v>
      </c>
    </row>
    <row r="13" customFormat="false" ht="15" hidden="false" customHeight="true" outlineLevel="0" collapsed="false">
      <c r="A13" s="6" t="s">
        <v>412</v>
      </c>
      <c r="B13" s="7" t="s">
        <v>413</v>
      </c>
      <c r="C13" s="30" t="n">
        <f aca="false">C8*'1-Waste Input'!C17*'1-Waste Input'!C25</f>
        <v>5488</v>
      </c>
      <c r="D13" s="7" t="s">
        <v>397</v>
      </c>
      <c r="E13" s="9" t="s">
        <v>414</v>
      </c>
    </row>
    <row r="14" customFormat="false" ht="15" hidden="false" customHeight="true" outlineLevel="0" collapsed="false">
      <c r="A14" s="6" t="s">
        <v>415</v>
      </c>
      <c r="B14" s="7" t="s">
        <v>416</v>
      </c>
      <c r="C14" s="30" t="n">
        <f aca="false">C8*'1-Waste Input'!C17*'1-Waste Input'!C26</f>
        <v>1029</v>
      </c>
      <c r="D14" s="7" t="s">
        <v>397</v>
      </c>
      <c r="E14" s="9" t="s">
        <v>417</v>
      </c>
    </row>
    <row r="15" customFormat="false" ht="15" hidden="false" customHeight="true" outlineLevel="0" collapsed="false">
      <c r="A15" s="6" t="s">
        <v>418</v>
      </c>
      <c r="B15" s="7" t="s">
        <v>419</v>
      </c>
      <c r="C15" s="30" t="n">
        <f aca="false">C8*'1-Waste Input'!C17*'1-Waste Input'!C27</f>
        <v>343</v>
      </c>
      <c r="D15" s="7" t="s">
        <v>397</v>
      </c>
      <c r="E15" s="9" t="s">
        <v>420</v>
      </c>
    </row>
    <row r="16" customFormat="false" ht="15" hidden="false" customHeight="true" outlineLevel="0" collapsed="false">
      <c r="A16" s="6" t="s">
        <v>421</v>
      </c>
      <c r="B16" s="7" t="s">
        <v>422</v>
      </c>
      <c r="C16" s="30" t="n">
        <f aca="false">C8*'1-Waste Input'!C18</f>
        <v>7546</v>
      </c>
      <c r="D16" s="7" t="s">
        <v>397</v>
      </c>
      <c r="E16" s="9" t="s">
        <v>423</v>
      </c>
    </row>
    <row r="17" customFormat="false" ht="15" hidden="false" customHeight="true" outlineLevel="0" collapsed="false">
      <c r="A17" s="6" t="s">
        <v>424</v>
      </c>
      <c r="B17" s="7" t="s">
        <v>425</v>
      </c>
      <c r="C17" s="30" t="n">
        <f aca="false">C8*'1-Waste Input'!C19</f>
        <v>2744</v>
      </c>
      <c r="D17" s="7" t="s">
        <v>397</v>
      </c>
      <c r="E17" s="9" t="s">
        <v>426</v>
      </c>
    </row>
    <row r="18" customFormat="false" ht="15" hidden="false" customHeight="true" outlineLevel="0" collapsed="false">
      <c r="A18" s="6" t="s">
        <v>427</v>
      </c>
      <c r="B18" s="7" t="s">
        <v>428</v>
      </c>
      <c r="C18" s="30" t="n">
        <f aca="false">C8*'1-Waste Input'!C20</f>
        <v>10976</v>
      </c>
      <c r="D18" s="7" t="s">
        <v>397</v>
      </c>
      <c r="E18" s="9" t="s">
        <v>429</v>
      </c>
    </row>
    <row r="19" customFormat="false" ht="15" hidden="false" customHeight="true" outlineLevel="0" collapsed="false">
      <c r="A19" s="6" t="s">
        <v>430</v>
      </c>
      <c r="B19" s="7" t="s">
        <v>431</v>
      </c>
      <c r="C19" s="30" t="n">
        <f aca="false">C8*'1-Waste Input'!C21</f>
        <v>3430</v>
      </c>
      <c r="D19" s="7" t="s">
        <v>397</v>
      </c>
      <c r="E19" s="9" t="s">
        <v>432</v>
      </c>
    </row>
    <row r="20" customFormat="false" ht="15" hidden="false" customHeight="true" outlineLevel="0" collapsed="false">
      <c r="A20" s="6"/>
      <c r="B20" s="7" t="s">
        <v>433</v>
      </c>
      <c r="C20" s="30" t="n">
        <f aca="false">C8-SUM(C11:C19)</f>
        <v>0</v>
      </c>
      <c r="D20" s="7" t="s">
        <v>397</v>
      </c>
      <c r="E20" s="9" t="s">
        <v>434</v>
      </c>
    </row>
    <row r="22" customFormat="false" ht="15" hidden="false" customHeight="true" outlineLevel="0" collapsed="false">
      <c r="A22" s="5"/>
      <c r="B22" s="5" t="s">
        <v>435</v>
      </c>
      <c r="C22" s="5"/>
      <c r="D22" s="5"/>
      <c r="E22" s="5"/>
    </row>
    <row r="23" customFormat="false" ht="15" hidden="false" customHeight="true" outlineLevel="0" collapsed="false">
      <c r="A23" s="6" t="s">
        <v>436</v>
      </c>
      <c r="B23" s="7" t="s">
        <v>437</v>
      </c>
      <c r="C23" s="30" t="n">
        <f aca="false">IF('3-Operations'!C6=1,C13*'3-Operations'!C13,0)</f>
        <v>4939.2</v>
      </c>
      <c r="D23" s="7" t="s">
        <v>397</v>
      </c>
      <c r="E23" s="9" t="s">
        <v>438</v>
      </c>
    </row>
    <row r="24" customFormat="false" ht="15" hidden="false" customHeight="true" outlineLevel="0" collapsed="false">
      <c r="A24" s="6" t="s">
        <v>439</v>
      </c>
      <c r="B24" s="7" t="s">
        <v>440</v>
      </c>
      <c r="C24" s="30" t="n">
        <f aca="false">IF('3-Operations'!C6=1,C14*'3-Operations'!C14,0)</f>
        <v>771.75</v>
      </c>
      <c r="D24" s="7" t="s">
        <v>397</v>
      </c>
      <c r="E24" s="9" t="s">
        <v>441</v>
      </c>
    </row>
    <row r="25" customFormat="false" ht="15" hidden="false" customHeight="true" outlineLevel="0" collapsed="false">
      <c r="A25" s="6" t="s">
        <v>442</v>
      </c>
      <c r="B25" s="7" t="s">
        <v>443</v>
      </c>
      <c r="C25" s="30" t="n">
        <f aca="false">IF('3-Operations'!C6=1,C16*'3-Operations'!C15,0)</f>
        <v>5282.2</v>
      </c>
      <c r="D25" s="7" t="s">
        <v>397</v>
      </c>
      <c r="E25" s="9" t="s">
        <v>444</v>
      </c>
    </row>
    <row r="26" customFormat="false" ht="15" hidden="false" customHeight="true" outlineLevel="0" collapsed="false">
      <c r="A26" s="6" t="s">
        <v>445</v>
      </c>
      <c r="B26" s="7" t="s">
        <v>446</v>
      </c>
      <c r="C26" s="30" t="n">
        <f aca="false">IF('3-Operations'!C6=1,C11*'3-Operations'!C16,0)</f>
        <v>0</v>
      </c>
      <c r="D26" s="7" t="s">
        <v>397</v>
      </c>
      <c r="E26" s="9" t="s">
        <v>447</v>
      </c>
    </row>
    <row r="27" customFormat="false" ht="15" hidden="false" customHeight="true" outlineLevel="0" collapsed="false">
      <c r="A27" s="6" t="s">
        <v>448</v>
      </c>
      <c r="B27" s="7" t="s">
        <v>449</v>
      </c>
      <c r="C27" s="30" t="n">
        <f aca="false">IF('3-Operations'!C6=1,C12*'3-Operations'!C17,0)</f>
        <v>0</v>
      </c>
      <c r="D27" s="7" t="s">
        <v>397</v>
      </c>
      <c r="E27" s="9" t="s">
        <v>450</v>
      </c>
    </row>
    <row r="28" customFormat="false" ht="15" hidden="false" customHeight="true" outlineLevel="0" collapsed="false">
      <c r="A28" s="6" t="s">
        <v>451</v>
      </c>
      <c r="B28" s="7" t="s">
        <v>452</v>
      </c>
      <c r="C28" s="30" t="n">
        <f aca="false">IF('3-Operations'!C6=1,C17*'3-Operations'!C18,0)</f>
        <v>1372</v>
      </c>
      <c r="D28" s="7" t="s">
        <v>397</v>
      </c>
      <c r="E28" s="9" t="s">
        <v>453</v>
      </c>
    </row>
    <row r="29" customFormat="false" ht="15" hidden="false" customHeight="true" outlineLevel="0" collapsed="false">
      <c r="A29" s="6" t="s">
        <v>454</v>
      </c>
      <c r="B29" s="7" t="s">
        <v>455</v>
      </c>
      <c r="C29" s="30" t="n">
        <f aca="false">SUM(C23:C28)</f>
        <v>12365.15</v>
      </c>
      <c r="D29" s="7" t="s">
        <v>397</v>
      </c>
      <c r="E29" s="9" t="s">
        <v>456</v>
      </c>
    </row>
    <row r="31" customFormat="false" ht="15" hidden="false" customHeight="true" outlineLevel="0" collapsed="false">
      <c r="A31" s="5"/>
      <c r="B31" s="5" t="s">
        <v>457</v>
      </c>
      <c r="C31" s="5"/>
      <c r="D31" s="5"/>
      <c r="E31" s="5"/>
    </row>
    <row r="32" customFormat="false" ht="15" hidden="false" customHeight="true" outlineLevel="0" collapsed="false">
      <c r="A32" s="6" t="s">
        <v>458</v>
      </c>
      <c r="B32" s="7" t="s">
        <v>459</v>
      </c>
      <c r="C32" s="30" t="n">
        <f aca="false">C11-C26</f>
        <v>41160</v>
      </c>
      <c r="D32" s="7" t="s">
        <v>397</v>
      </c>
      <c r="E32" s="9" t="s">
        <v>460</v>
      </c>
    </row>
    <row r="33" customFormat="false" ht="15" hidden="false" customHeight="true" outlineLevel="0" collapsed="false">
      <c r="A33" s="6" t="s">
        <v>461</v>
      </c>
      <c r="B33" s="7" t="s">
        <v>462</v>
      </c>
      <c r="C33" s="30" t="n">
        <f aca="false">C12-C27</f>
        <v>64484</v>
      </c>
      <c r="D33" s="7" t="s">
        <v>397</v>
      </c>
      <c r="E33" s="9" t="s">
        <v>463</v>
      </c>
    </row>
    <row r="34" customFormat="false" ht="15" hidden="false" customHeight="true" outlineLevel="0" collapsed="false">
      <c r="A34" s="6" t="s">
        <v>464</v>
      </c>
      <c r="B34" s="7" t="s">
        <v>465</v>
      </c>
      <c r="C34" s="30" t="n">
        <f aca="false">C13-C23</f>
        <v>548.8</v>
      </c>
      <c r="D34" s="7" t="s">
        <v>397</v>
      </c>
      <c r="E34" s="9" t="s">
        <v>466</v>
      </c>
    </row>
    <row r="35" customFormat="false" ht="15" hidden="false" customHeight="true" outlineLevel="0" collapsed="false">
      <c r="A35" s="6" t="s">
        <v>467</v>
      </c>
      <c r="B35" s="7" t="s">
        <v>468</v>
      </c>
      <c r="C35" s="30" t="n">
        <f aca="false">C14-C24</f>
        <v>257.25</v>
      </c>
      <c r="D35" s="7" t="s">
        <v>397</v>
      </c>
      <c r="E35" s="9" t="s">
        <v>469</v>
      </c>
    </row>
    <row r="36" customFormat="false" ht="15" hidden="false" customHeight="true" outlineLevel="0" collapsed="false">
      <c r="A36" s="6" t="s">
        <v>470</v>
      </c>
      <c r="B36" s="7" t="s">
        <v>471</v>
      </c>
      <c r="C36" s="30" t="n">
        <f aca="false">C15</f>
        <v>343</v>
      </c>
      <c r="D36" s="7" t="s">
        <v>397</v>
      </c>
      <c r="E36" s="9" t="s">
        <v>472</v>
      </c>
    </row>
    <row r="37" customFormat="false" ht="15" hidden="false" customHeight="true" outlineLevel="0" collapsed="false">
      <c r="A37" s="6" t="s">
        <v>473</v>
      </c>
      <c r="B37" s="7" t="s">
        <v>474</v>
      </c>
      <c r="C37" s="30" t="n">
        <f aca="false">C16-C25</f>
        <v>2263.8</v>
      </c>
      <c r="D37" s="7" t="s">
        <v>397</v>
      </c>
      <c r="E37" s="9" t="s">
        <v>475</v>
      </c>
    </row>
    <row r="38" customFormat="false" ht="15" hidden="false" customHeight="true" outlineLevel="0" collapsed="false">
      <c r="A38" s="6" t="s">
        <v>476</v>
      </c>
      <c r="B38" s="7" t="s">
        <v>477</v>
      </c>
      <c r="C38" s="30" t="n">
        <f aca="false">C17-C28</f>
        <v>1372</v>
      </c>
      <c r="D38" s="7" t="s">
        <v>397</v>
      </c>
      <c r="E38" s="9" t="s">
        <v>478</v>
      </c>
    </row>
    <row r="39" customFormat="false" ht="15" hidden="false" customHeight="true" outlineLevel="0" collapsed="false">
      <c r="A39" s="6" t="s">
        <v>479</v>
      </c>
      <c r="B39" s="7" t="s">
        <v>480</v>
      </c>
      <c r="C39" s="30" t="n">
        <f aca="false">C18</f>
        <v>10976</v>
      </c>
      <c r="D39" s="7" t="s">
        <v>397</v>
      </c>
      <c r="E39" s="9" t="s">
        <v>481</v>
      </c>
    </row>
    <row r="40" customFormat="false" ht="15" hidden="false" customHeight="true" outlineLevel="0" collapsed="false">
      <c r="A40" s="6" t="s">
        <v>482</v>
      </c>
      <c r="B40" s="7" t="s">
        <v>483</v>
      </c>
      <c r="C40" s="30" t="n">
        <f aca="false">C19</f>
        <v>3430</v>
      </c>
      <c r="D40" s="7" t="s">
        <v>397</v>
      </c>
      <c r="E40" s="9" t="s">
        <v>484</v>
      </c>
    </row>
    <row r="41" customFormat="false" ht="15" hidden="false" customHeight="true" outlineLevel="0" collapsed="false">
      <c r="A41" s="6" t="s">
        <v>485</v>
      </c>
      <c r="B41" s="7" t="s">
        <v>486</v>
      </c>
      <c r="C41" s="30" t="n">
        <f aca="false">SUM(C32:C40)</f>
        <v>124834.85</v>
      </c>
      <c r="D41" s="7" t="s">
        <v>397</v>
      </c>
      <c r="E41" s="9" t="s">
        <v>487</v>
      </c>
    </row>
    <row r="43" customFormat="false" ht="15" hidden="false" customHeight="true" outlineLevel="0" collapsed="false">
      <c r="A43" s="5"/>
      <c r="B43" s="5" t="s">
        <v>488</v>
      </c>
      <c r="C43" s="5"/>
      <c r="D43" s="5"/>
      <c r="E43" s="5"/>
    </row>
    <row r="44" customFormat="false" ht="15" hidden="false" customHeight="true" outlineLevel="0" collapsed="false">
      <c r="A44" s="6" t="s">
        <v>489</v>
      </c>
      <c r="B44" s="7" t="s">
        <v>490</v>
      </c>
      <c r="C44" s="30" t="n">
        <f aca="false">C32*'1-Waste Input'!C52</f>
        <v>28530.054</v>
      </c>
      <c r="D44" s="7" t="s">
        <v>397</v>
      </c>
      <c r="E44" s="9" t="s">
        <v>491</v>
      </c>
    </row>
    <row r="45" customFormat="false" ht="15" hidden="false" customHeight="true" outlineLevel="0" collapsed="false">
      <c r="A45" s="6" t="s">
        <v>492</v>
      </c>
      <c r="B45" s="7" t="s">
        <v>493</v>
      </c>
      <c r="C45" s="30" t="n">
        <f aca="false">C44/'1-Waste Input'!C44</f>
        <v>33564.7694117647</v>
      </c>
      <c r="D45" s="7" t="s">
        <v>494</v>
      </c>
      <c r="E45" s="9" t="s">
        <v>495</v>
      </c>
    </row>
    <row r="46" customFormat="false" ht="15" hidden="false" customHeight="true" outlineLevel="0" collapsed="false">
      <c r="A46" s="6" t="s">
        <v>496</v>
      </c>
      <c r="B46" s="7" t="s">
        <v>497</v>
      </c>
      <c r="C46" s="30" t="n">
        <f aca="false">C32*'1-Waste Input'!C53</f>
        <v>7943.88</v>
      </c>
      <c r="D46" s="7" t="s">
        <v>397</v>
      </c>
      <c r="E46" s="9" t="s">
        <v>498</v>
      </c>
    </row>
    <row r="47" customFormat="false" ht="15" hidden="false" customHeight="true" outlineLevel="0" collapsed="false">
      <c r="A47" s="6" t="s">
        <v>499</v>
      </c>
      <c r="B47" s="7" t="s">
        <v>500</v>
      </c>
      <c r="C47" s="30" t="n">
        <f aca="false">C32*'1-Waste Input'!C54</f>
        <v>4249.77</v>
      </c>
      <c r="D47" s="7" t="s">
        <v>397</v>
      </c>
      <c r="E47" s="9" t="s">
        <v>501</v>
      </c>
    </row>
    <row r="48" customFormat="false" ht="15" hidden="false" customHeight="true" outlineLevel="0" collapsed="false">
      <c r="A48" s="6" t="s">
        <v>502</v>
      </c>
      <c r="B48" s="7" t="s">
        <v>503</v>
      </c>
      <c r="C48" s="30" t="n">
        <f aca="false">C33*'1-Waste Input'!C43</f>
        <v>44493.96</v>
      </c>
      <c r="D48" s="7" t="s">
        <v>397</v>
      </c>
      <c r="E48" s="9" t="s">
        <v>504</v>
      </c>
    </row>
    <row r="49" customFormat="false" ht="15" hidden="false" customHeight="true" outlineLevel="0" collapsed="false">
      <c r="A49" s="6" t="s">
        <v>505</v>
      </c>
      <c r="B49" s="7" t="s">
        <v>506</v>
      </c>
      <c r="C49" s="30" t="n">
        <f aca="false">C33*(1-'1-Waste Input'!C43)</f>
        <v>19990.04</v>
      </c>
      <c r="D49" s="7" t="s">
        <v>397</v>
      </c>
      <c r="E49" s="9" t="s">
        <v>507</v>
      </c>
    </row>
    <row r="50" customFormat="false" ht="15" hidden="false" customHeight="true" outlineLevel="0" collapsed="false">
      <c r="A50" s="6" t="s">
        <v>508</v>
      </c>
      <c r="B50" s="7" t="s">
        <v>509</v>
      </c>
      <c r="C50" s="30" t="n">
        <f aca="false">C34+C35+C36</f>
        <v>1149.05</v>
      </c>
      <c r="D50" s="7" t="s">
        <v>397</v>
      </c>
      <c r="E50" s="9" t="s">
        <v>510</v>
      </c>
    </row>
    <row r="51" customFormat="false" ht="15" hidden="false" customHeight="true" outlineLevel="0" collapsed="false">
      <c r="A51" s="6" t="s">
        <v>511</v>
      </c>
      <c r="B51" s="7" t="s">
        <v>512</v>
      </c>
      <c r="C51" s="30" t="n">
        <f aca="false">C37+C38</f>
        <v>3635.8</v>
      </c>
      <c r="D51" s="7" t="s">
        <v>397</v>
      </c>
      <c r="E51" s="9" t="s">
        <v>513</v>
      </c>
    </row>
    <row r="52" customFormat="false" ht="15" hidden="false" customHeight="true" outlineLevel="0" collapsed="false">
      <c r="A52" s="6" t="s">
        <v>514</v>
      </c>
      <c r="B52" s="7" t="s">
        <v>515</v>
      </c>
      <c r="C52" s="30" t="n">
        <f aca="false">C39</f>
        <v>10976</v>
      </c>
      <c r="D52" s="7" t="s">
        <v>397</v>
      </c>
      <c r="E52" s="9" t="s">
        <v>516</v>
      </c>
    </row>
    <row r="53" customFormat="false" ht="15" hidden="false" customHeight="true" outlineLevel="0" collapsed="false">
      <c r="A53" s="6" t="s">
        <v>517</v>
      </c>
      <c r="B53" s="7" t="s">
        <v>518</v>
      </c>
      <c r="C53" s="30" t="n">
        <f aca="false">C40</f>
        <v>3430</v>
      </c>
      <c r="D53" s="7" t="s">
        <v>397</v>
      </c>
      <c r="E53" s="9" t="s">
        <v>519</v>
      </c>
    </row>
    <row r="54" customFormat="false" ht="15" hidden="false" customHeight="true" outlineLevel="0" collapsed="false">
      <c r="A54" s="6"/>
      <c r="B54" s="7" t="s">
        <v>520</v>
      </c>
      <c r="C54" s="30" t="n">
        <f aca="false">C41-(C44+C46+C47+C48+C49+C50+C51+C52+C53)</f>
        <v>436.295999999988</v>
      </c>
      <c r="D54" s="7" t="s">
        <v>397</v>
      </c>
      <c r="E54" s="9" t="s">
        <v>434</v>
      </c>
    </row>
    <row r="56" customFormat="false" ht="15" hidden="false" customHeight="true" outlineLevel="0" collapsed="false">
      <c r="A56" s="5"/>
      <c r="B56" s="5" t="s">
        <v>521</v>
      </c>
      <c r="C56" s="5"/>
      <c r="D56" s="5"/>
      <c r="E56" s="5"/>
    </row>
    <row r="57" customFormat="false" ht="15" hidden="false" customHeight="true" outlineLevel="0" collapsed="false">
      <c r="A57" s="6" t="s">
        <v>522</v>
      </c>
      <c r="B57" s="7" t="s">
        <v>523</v>
      </c>
      <c r="C57" s="30" t="n">
        <f aca="false">C47+C48</f>
        <v>48743.73</v>
      </c>
      <c r="D57" s="7" t="s">
        <v>397</v>
      </c>
      <c r="E57" s="9" t="s">
        <v>524</v>
      </c>
    </row>
    <row r="58" customFormat="false" ht="15" hidden="false" customHeight="true" outlineLevel="0" collapsed="false">
      <c r="A58" s="6" t="s">
        <v>525</v>
      </c>
      <c r="B58" s="7" t="s">
        <v>526</v>
      </c>
      <c r="C58" s="30" t="n">
        <f aca="false">C50</f>
        <v>1149.05</v>
      </c>
      <c r="D58" s="7" t="s">
        <v>397</v>
      </c>
      <c r="E58" s="9" t="s">
        <v>527</v>
      </c>
    </row>
    <row r="59" customFormat="false" ht="15" hidden="false" customHeight="true" outlineLevel="0" collapsed="false">
      <c r="A59" s="6" t="s">
        <v>528</v>
      </c>
      <c r="B59" s="7" t="s">
        <v>529</v>
      </c>
      <c r="C59" s="30" t="n">
        <f aca="false">C51</f>
        <v>3635.8</v>
      </c>
      <c r="D59" s="7" t="s">
        <v>397</v>
      </c>
      <c r="E59" s="9" t="s">
        <v>530</v>
      </c>
    </row>
    <row r="60" customFormat="false" ht="15" hidden="false" customHeight="true" outlineLevel="0" collapsed="false">
      <c r="A60" s="6" t="s">
        <v>531</v>
      </c>
      <c r="B60" s="7" t="s">
        <v>532</v>
      </c>
      <c r="C60" s="30" t="n">
        <f aca="false">C57+C58+C59</f>
        <v>53528.58</v>
      </c>
      <c r="D60" s="7" t="s">
        <v>397</v>
      </c>
      <c r="E60" s="9" t="s">
        <v>533</v>
      </c>
    </row>
    <row r="62" customFormat="false" ht="15" hidden="false" customHeight="true" outlineLevel="0" collapsed="false">
      <c r="A62" s="5"/>
      <c r="B62" s="5" t="s">
        <v>534</v>
      </c>
      <c r="C62" s="5"/>
      <c r="D62" s="5"/>
      <c r="E62" s="5"/>
    </row>
    <row r="63" customFormat="false" ht="15" hidden="false" customHeight="true" outlineLevel="0" collapsed="false">
      <c r="A63" s="6" t="s">
        <v>535</v>
      </c>
      <c r="B63" s="7" t="s">
        <v>536</v>
      </c>
      <c r="C63" s="30" t="n">
        <f aca="false">IF('3-Operations'!C7=1,C57*'3-Operations'!C21,0)</f>
        <v>41432.1705</v>
      </c>
      <c r="D63" s="7" t="s">
        <v>397</v>
      </c>
      <c r="E63" s="9" t="s">
        <v>537</v>
      </c>
    </row>
    <row r="64" customFormat="false" ht="15" hidden="false" customHeight="true" outlineLevel="0" collapsed="false">
      <c r="A64" s="6" t="s">
        <v>538</v>
      </c>
      <c r="B64" s="7" t="s">
        <v>539</v>
      </c>
      <c r="C64" s="30" t="n">
        <f aca="false">IF('3-Operations'!C7=1,C58*'3-Operations'!C22,0)</f>
        <v>919.24</v>
      </c>
      <c r="D64" s="7" t="s">
        <v>397</v>
      </c>
      <c r="E64" s="9" t="s">
        <v>540</v>
      </c>
    </row>
    <row r="65" customFormat="false" ht="15" hidden="false" customHeight="true" outlineLevel="0" collapsed="false">
      <c r="A65" s="6" t="s">
        <v>541</v>
      </c>
      <c r="B65" s="7" t="s">
        <v>542</v>
      </c>
      <c r="C65" s="30" t="n">
        <f aca="false">IF('3-Operations'!C7=1,C59*'3-Operations'!C23,0)</f>
        <v>2545.06</v>
      </c>
      <c r="D65" s="7" t="s">
        <v>397</v>
      </c>
      <c r="E65" s="9" t="s">
        <v>543</v>
      </c>
    </row>
    <row r="66" customFormat="false" ht="15" hidden="false" customHeight="true" outlineLevel="0" collapsed="false">
      <c r="A66" s="6" t="s">
        <v>544</v>
      </c>
      <c r="B66" s="7" t="s">
        <v>545</v>
      </c>
      <c r="C66" s="30" t="n">
        <f aca="false">IF('3-Operations'!C7=1,C60-C63-C64-C65,0)</f>
        <v>8632.10950000001</v>
      </c>
      <c r="D66" s="7" t="s">
        <v>397</v>
      </c>
      <c r="E66" s="9" t="s">
        <v>546</v>
      </c>
    </row>
    <row r="68" customFormat="false" ht="15" hidden="false" customHeight="true" outlineLevel="0" collapsed="false">
      <c r="A68" s="5"/>
      <c r="B68" s="5" t="s">
        <v>547</v>
      </c>
      <c r="C68" s="5"/>
      <c r="D68" s="5"/>
      <c r="E68" s="5"/>
    </row>
    <row r="69" customFormat="false" ht="15" hidden="false" customHeight="true" outlineLevel="0" collapsed="false">
      <c r="A69" s="6" t="s">
        <v>548</v>
      </c>
      <c r="B69" s="7" t="s">
        <v>549</v>
      </c>
      <c r="C69" s="30" t="n">
        <f aca="false">C44</f>
        <v>28530.054</v>
      </c>
      <c r="D69" s="7" t="s">
        <v>397</v>
      </c>
      <c r="E69" s="9" t="s">
        <v>550</v>
      </c>
    </row>
    <row r="70" customFormat="false" ht="15" hidden="false" customHeight="true" outlineLevel="0" collapsed="false">
      <c r="A70" s="6" t="s">
        <v>551</v>
      </c>
      <c r="B70" s="7" t="s">
        <v>552</v>
      </c>
      <c r="C70" s="30" t="n">
        <f aca="false">C45</f>
        <v>33564.7694117647</v>
      </c>
      <c r="D70" s="7" t="s">
        <v>494</v>
      </c>
      <c r="E70" s="9"/>
    </row>
    <row r="71" customFormat="false" ht="15" hidden="false" customHeight="true" outlineLevel="0" collapsed="false">
      <c r="A71" s="6" t="s">
        <v>553</v>
      </c>
      <c r="B71" s="7" t="s">
        <v>554</v>
      </c>
      <c r="C71" s="31" t="n">
        <f aca="false">IF('3-Operations'!C7=1,C63,C57)</f>
        <v>41432.1705</v>
      </c>
      <c r="D71" s="7" t="s">
        <v>397</v>
      </c>
      <c r="E71" s="9" t="s">
        <v>555</v>
      </c>
    </row>
    <row r="72" customFormat="false" ht="15" hidden="false" customHeight="true" outlineLevel="0" collapsed="false">
      <c r="A72" s="6" t="s">
        <v>556</v>
      </c>
      <c r="B72" s="7" t="s">
        <v>557</v>
      </c>
      <c r="C72" s="30" t="n">
        <f aca="false">C23+C24</f>
        <v>5710.95</v>
      </c>
      <c r="D72" s="7" t="s">
        <v>397</v>
      </c>
      <c r="E72" s="9" t="s">
        <v>558</v>
      </c>
    </row>
    <row r="73" customFormat="false" ht="15" hidden="false" customHeight="true" outlineLevel="0" collapsed="false">
      <c r="A73" s="6" t="s">
        <v>559</v>
      </c>
      <c r="B73" s="7" t="s">
        <v>560</v>
      </c>
      <c r="C73" s="30" t="n">
        <f aca="false">C64</f>
        <v>919.24</v>
      </c>
      <c r="D73" s="7" t="s">
        <v>397</v>
      </c>
      <c r="E73" s="9" t="s">
        <v>561</v>
      </c>
    </row>
    <row r="74" customFormat="false" ht="15" hidden="false" customHeight="true" outlineLevel="0" collapsed="false">
      <c r="A74" s="6" t="s">
        <v>562</v>
      </c>
      <c r="B74" s="7" t="s">
        <v>563</v>
      </c>
      <c r="C74" s="30" t="n">
        <f aca="false">C25</f>
        <v>5282.2</v>
      </c>
      <c r="D74" s="7" t="s">
        <v>397</v>
      </c>
      <c r="E74" s="9" t="s">
        <v>564</v>
      </c>
    </row>
    <row r="75" customFormat="false" ht="15" hidden="false" customHeight="true" outlineLevel="0" collapsed="false">
      <c r="A75" s="6" t="s">
        <v>565</v>
      </c>
      <c r="B75" s="7" t="s">
        <v>566</v>
      </c>
      <c r="C75" s="30" t="n">
        <f aca="false">C7+IF('3-Operations'!C6=1,C28,0)+IF('3-Operations'!C7=1,C66,IF('3-Operations'!C7=0,C58+C59,0))+C65</f>
        <v>15349.1695</v>
      </c>
      <c r="D75" s="7" t="s">
        <v>397</v>
      </c>
      <c r="E75" s="9" t="s">
        <v>567</v>
      </c>
    </row>
    <row r="77" customFormat="false" ht="15" hidden="false" customHeight="true" outlineLevel="0" collapsed="false">
      <c r="A77" s="5"/>
      <c r="B77" s="5" t="s">
        <v>568</v>
      </c>
      <c r="C77" s="5"/>
      <c r="D77" s="5"/>
      <c r="E77" s="5"/>
    </row>
    <row r="78" customFormat="false" ht="15" hidden="false" customHeight="true" outlineLevel="0" collapsed="false">
      <c r="A78" s="6" t="s">
        <v>569</v>
      </c>
      <c r="B78" s="7" t="s">
        <v>570</v>
      </c>
      <c r="C78" s="30" t="n">
        <f aca="false">C32*'1-Waste Input'!C56</f>
        <v>44009.0952</v>
      </c>
      <c r="D78" s="7" t="s">
        <v>571</v>
      </c>
      <c r="E78" s="9" t="s">
        <v>572</v>
      </c>
    </row>
    <row r="79" customFormat="false" ht="15" hidden="false" customHeight="true" outlineLevel="0" collapsed="false">
      <c r="A79" s="6" t="s">
        <v>573</v>
      </c>
      <c r="B79" s="7" t="s">
        <v>574</v>
      </c>
      <c r="C79" s="30" t="n">
        <f aca="false">C33*(1-'1-Waste Input'!C43)*'1-Waste Input'!C45</f>
        <v>9995.02</v>
      </c>
      <c r="D79" s="7" t="s">
        <v>571</v>
      </c>
      <c r="E79" s="9" t="s">
        <v>575</v>
      </c>
    </row>
    <row r="80" customFormat="false" ht="15" hidden="false" customHeight="true" outlineLevel="0" collapsed="false">
      <c r="A80" s="6" t="s">
        <v>576</v>
      </c>
      <c r="B80" s="7" t="s">
        <v>577</v>
      </c>
      <c r="C80" s="30" t="n">
        <f aca="false">C78+C79</f>
        <v>54004.1152</v>
      </c>
      <c r="D80" s="7" t="s">
        <v>571</v>
      </c>
      <c r="E80" s="9"/>
    </row>
    <row r="81" customFormat="false" ht="15" hidden="false" customHeight="true" outlineLevel="0" collapsed="false">
      <c r="A81" s="6" t="s">
        <v>578</v>
      </c>
      <c r="B81" s="7" t="s">
        <v>579</v>
      </c>
      <c r="C81" s="30" t="n">
        <f aca="false">C48*'1-Waste Input'!C46</f>
        <v>667409.4</v>
      </c>
      <c r="D81" s="7" t="s">
        <v>571</v>
      </c>
      <c r="E81" s="9" t="s">
        <v>580</v>
      </c>
    </row>
    <row r="82" customFormat="false" ht="15" hidden="false" customHeight="true" outlineLevel="0" collapsed="false">
      <c r="A82" s="6" t="s">
        <v>581</v>
      </c>
      <c r="B82" s="7" t="s">
        <v>582</v>
      </c>
      <c r="C82" s="30" t="n">
        <f aca="false">C47*'1-Waste Input'!C47</f>
        <v>106244.25</v>
      </c>
      <c r="D82" s="7" t="s">
        <v>571</v>
      </c>
      <c r="E82" s="9" t="s">
        <v>583</v>
      </c>
    </row>
    <row r="83" customFormat="false" ht="15" hidden="false" customHeight="true" outlineLevel="0" collapsed="false">
      <c r="A83" s="6" t="s">
        <v>584</v>
      </c>
      <c r="B83" s="7" t="s">
        <v>585</v>
      </c>
      <c r="C83" s="30" t="n">
        <f aca="false">C81+C82</f>
        <v>773653.65</v>
      </c>
      <c r="D83" s="7" t="s">
        <v>571</v>
      </c>
      <c r="E83" s="9"/>
    </row>
    <row r="84" customFormat="false" ht="15" hidden="false" customHeight="true" outlineLevel="0" collapsed="false">
      <c r="A84" s="6" t="s">
        <v>586</v>
      </c>
      <c r="B84" s="7" t="s">
        <v>587</v>
      </c>
      <c r="C84" s="30" t="n">
        <f aca="false">C41/1000*'1-Waste Input'!C48</f>
        <v>338801.7829</v>
      </c>
      <c r="D84" s="7" t="s">
        <v>571</v>
      </c>
      <c r="E84" s="9" t="s">
        <v>588</v>
      </c>
    </row>
    <row r="85" customFormat="false" ht="15" hidden="false" customHeight="true" outlineLevel="0" collapsed="false">
      <c r="A85" s="6" t="s">
        <v>589</v>
      </c>
      <c r="B85" s="7" t="s">
        <v>590</v>
      </c>
      <c r="C85" s="32" t="n">
        <f aca="false">IF(C84=0,0,C80/C84)</f>
        <v>0.159397376063808</v>
      </c>
      <c r="D85" s="7" t="s">
        <v>591</v>
      </c>
      <c r="E85" s="9" t="s">
        <v>592</v>
      </c>
    </row>
    <row r="87" customFormat="false" ht="15" hidden="false" customHeight="true" outlineLevel="0" collapsed="false">
      <c r="A87" s="6" t="s">
        <v>593</v>
      </c>
      <c r="B87" s="7" t="s">
        <v>594</v>
      </c>
      <c r="C87" s="31" t="n">
        <f aca="false">C57</f>
        <v>48743.73</v>
      </c>
      <c r="D87" s="7" t="s">
        <v>397</v>
      </c>
      <c r="E87" s="9" t="s">
        <v>595</v>
      </c>
    </row>
    <row r="88" customFormat="false" ht="15" hidden="false" customHeight="true" outlineLevel="0" collapsed="false">
      <c r="A88" s="6" t="s">
        <v>596</v>
      </c>
      <c r="B88" s="7" t="s">
        <v>597</v>
      </c>
      <c r="C88" s="31" t="n">
        <f aca="false">MAX(0,(C84-C80))/38</f>
        <v>7494.67546578947</v>
      </c>
      <c r="D88" s="7" t="s">
        <v>494</v>
      </c>
      <c r="E88" s="9" t="s">
        <v>598</v>
      </c>
    </row>
    <row r="89" customFormat="false" ht="15" hidden="false" customHeight="true" outlineLevel="0" collapsed="false">
      <c r="A89" s="6" t="s">
        <v>599</v>
      </c>
      <c r="B89" s="7" t="s">
        <v>600</v>
      </c>
      <c r="C89" s="30" t="n">
        <f aca="false">C88*'1-Waste Input'!C10*'2-Financial Inputs'!C57</f>
        <v>989297.161484211</v>
      </c>
      <c r="D89" s="7" t="s">
        <v>291</v>
      </c>
      <c r="E89" s="9" t="s">
        <v>601</v>
      </c>
    </row>
    <row r="90" customFormat="false" ht="15" hidden="false" customHeight="true" outlineLevel="0" collapsed="false">
      <c r="A90" s="26" t="s">
        <v>602</v>
      </c>
      <c r="B90" s="1" t="s">
        <v>603</v>
      </c>
      <c r="C90" s="26" t="n">
        <f aca="false">'2-Financial Inputs'!C74*'1-Waste Input'!C10*'2-Financial Inputs'!C58</f>
        <v>237600</v>
      </c>
      <c r="D90" s="1" t="s">
        <v>291</v>
      </c>
      <c r="E90" s="1" t="s">
        <v>604</v>
      </c>
    </row>
    <row r="91" customFormat="false" ht="15" hidden="false" customHeight="true" outlineLevel="0" collapsed="false">
      <c r="A91" s="5"/>
      <c r="B91" s="5" t="s">
        <v>605</v>
      </c>
      <c r="C91" s="5"/>
      <c r="D91" s="5"/>
      <c r="E91" s="5"/>
    </row>
    <row r="92" customFormat="false" ht="15" hidden="false" customHeight="true" outlineLevel="0" collapsed="false">
      <c r="A92" s="6" t="s">
        <v>606</v>
      </c>
      <c r="B92" s="7" t="s">
        <v>607</v>
      </c>
      <c r="C92" s="30" t="n">
        <f aca="false">C70*'1-Waste Input'!C10</f>
        <v>11076373.9058824</v>
      </c>
      <c r="D92" s="7" t="s">
        <v>608</v>
      </c>
      <c r="E92" s="9" t="s">
        <v>609</v>
      </c>
    </row>
    <row r="93" customFormat="false" ht="15" hidden="false" customHeight="true" outlineLevel="0" collapsed="false">
      <c r="A93" s="6" t="s">
        <v>610</v>
      </c>
      <c r="B93" s="7" t="s">
        <v>611</v>
      </c>
      <c r="C93" s="30" t="n">
        <f aca="false">C69*'1-Waste Input'!C10/1000</f>
        <v>9414.91782</v>
      </c>
      <c r="D93" s="7" t="s">
        <v>30</v>
      </c>
      <c r="E93" s="9" t="s">
        <v>612</v>
      </c>
    </row>
    <row r="94" customFormat="false" ht="15" hidden="false" customHeight="true" outlineLevel="0" collapsed="false">
      <c r="A94" s="6" t="s">
        <v>613</v>
      </c>
      <c r="B94" s="7" t="s">
        <v>614</v>
      </c>
      <c r="C94" s="30" t="n">
        <f aca="false">C71*'1-Waste Input'!C10/1000</f>
        <v>13672.616265</v>
      </c>
      <c r="D94" s="7" t="s">
        <v>30</v>
      </c>
      <c r="E94" s="9"/>
    </row>
    <row r="95" customFormat="false" ht="15" hidden="false" customHeight="true" outlineLevel="0" collapsed="false">
      <c r="A95" s="6" t="s">
        <v>615</v>
      </c>
      <c r="B95" s="7" t="s">
        <v>616</v>
      </c>
      <c r="C95" s="30" t="n">
        <f aca="false">C72*'1-Waste Input'!C10/1000</f>
        <v>1884.6135</v>
      </c>
      <c r="D95" s="7" t="s">
        <v>30</v>
      </c>
      <c r="E95" s="9"/>
    </row>
    <row r="96" customFormat="false" ht="15" hidden="false" customHeight="true" outlineLevel="0" collapsed="false">
      <c r="A96" s="6" t="s">
        <v>617</v>
      </c>
      <c r="B96" s="7" t="s">
        <v>618</v>
      </c>
      <c r="C96" s="30" t="n">
        <f aca="false">C73*'1-Waste Input'!C10/1000</f>
        <v>303.3492</v>
      </c>
      <c r="D96" s="7" t="s">
        <v>30</v>
      </c>
      <c r="E96" s="9"/>
    </row>
    <row r="97" customFormat="false" ht="15" hidden="false" customHeight="true" outlineLevel="0" collapsed="false">
      <c r="A97" s="6" t="s">
        <v>619</v>
      </c>
      <c r="B97" s="7" t="s">
        <v>620</v>
      </c>
      <c r="C97" s="30" t="n">
        <f aca="false">C74*'1-Waste Input'!C10/1000</f>
        <v>1743.126</v>
      </c>
      <c r="D97" s="7" t="s">
        <v>30</v>
      </c>
      <c r="E97" s="9"/>
    </row>
    <row r="98" customFormat="false" ht="15" hidden="false" customHeight="true" outlineLevel="0" collapsed="false">
      <c r="A98" s="6" t="s">
        <v>621</v>
      </c>
      <c r="B98" s="7" t="s">
        <v>622</v>
      </c>
      <c r="C98" s="30" t="n">
        <f aca="false">C75*'1-Waste Input'!C10/1000</f>
        <v>5065.225935</v>
      </c>
      <c r="D98" s="7" t="s">
        <v>30</v>
      </c>
      <c r="E98" s="9"/>
    </row>
    <row r="100" customFormat="false" ht="15" hidden="false" customHeight="true" outlineLevel="0" collapsed="false">
      <c r="A100" s="5"/>
      <c r="B100" s="5" t="s">
        <v>623</v>
      </c>
      <c r="C100" s="5"/>
      <c r="D100" s="5"/>
      <c r="E100" s="5"/>
    </row>
    <row r="101" customFormat="false" ht="15" hidden="false" customHeight="true" outlineLevel="0" collapsed="false">
      <c r="A101" s="6" t="s">
        <v>624</v>
      </c>
      <c r="B101" s="7" t="s">
        <v>625</v>
      </c>
      <c r="C101" s="30" t="n">
        <f aca="false">'1-Waste Input'!C12*'2-Financial Inputs'!C62*0.8</f>
        <v>66528</v>
      </c>
      <c r="D101" s="7" t="s">
        <v>626</v>
      </c>
      <c r="E101" s="9" t="s">
        <v>627</v>
      </c>
    </row>
    <row r="102" customFormat="false" ht="15" hidden="false" customHeight="true" outlineLevel="0" collapsed="false">
      <c r="A102" s="6" t="s">
        <v>628</v>
      </c>
      <c r="B102" s="7" t="s">
        <v>629</v>
      </c>
      <c r="C102" s="30" t="n">
        <f aca="false">'1-Waste Input'!C12*0.4</f>
        <v>18480</v>
      </c>
      <c r="D102" s="7" t="s">
        <v>626</v>
      </c>
      <c r="E102" s="9" t="s">
        <v>630</v>
      </c>
    </row>
    <row r="103" customFormat="false" ht="15" hidden="false" customHeight="true" outlineLevel="0" collapsed="false">
      <c r="A103" s="6" t="s">
        <v>631</v>
      </c>
      <c r="B103" s="7" t="s">
        <v>632</v>
      </c>
      <c r="C103" s="30" t="n">
        <f aca="false">MAX(0,C101-C102)</f>
        <v>48048</v>
      </c>
      <c r="D103" s="7" t="s">
        <v>626</v>
      </c>
      <c r="E103" s="9"/>
    </row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0"/>
  </cols>
  <sheetData>
    <row r="1" customFormat="false" ht="15.75" hidden="false" customHeight="true" outlineLevel="0" collapsed="false">
      <c r="A1" s="2" t="s">
        <v>633</v>
      </c>
      <c r="B1" s="2"/>
      <c r="C1" s="2"/>
      <c r="D1" s="2"/>
      <c r="E1" s="2"/>
    </row>
    <row r="2" customFormat="false" ht="15" hidden="false" customHeight="true" outlineLevel="0" collapsed="false">
      <c r="A2" s="3" t="s">
        <v>634</v>
      </c>
      <c r="B2" s="3"/>
      <c r="C2" s="3"/>
      <c r="D2" s="3"/>
      <c r="E2" s="3"/>
    </row>
    <row r="4" customFormat="false" ht="15" hidden="false" customHeight="true" outlineLevel="0" collapsed="false">
      <c r="A4" s="4" t="s">
        <v>635</v>
      </c>
      <c r="B4" s="4" t="s">
        <v>636</v>
      </c>
      <c r="C4" s="4" t="s">
        <v>637</v>
      </c>
      <c r="D4" s="4" t="s">
        <v>638</v>
      </c>
      <c r="E4" s="4" t="s">
        <v>639</v>
      </c>
    </row>
    <row r="5" customFormat="false" ht="15" hidden="false" customHeight="true" outlineLevel="0" collapsed="false">
      <c r="A5" s="5"/>
      <c r="B5" s="5" t="s">
        <v>640</v>
      </c>
      <c r="C5" s="5"/>
      <c r="D5" s="5"/>
      <c r="E5" s="5"/>
    </row>
    <row r="6" customFormat="false" ht="15" hidden="false" customHeight="true" outlineLevel="0" collapsed="false">
      <c r="A6" s="6" t="s">
        <v>641</v>
      </c>
      <c r="B6" s="7" t="s">
        <v>642</v>
      </c>
      <c r="C6" s="21" t="n">
        <v>50000000</v>
      </c>
      <c r="D6" s="33"/>
      <c r="E6" s="9" t="s">
        <v>643</v>
      </c>
    </row>
    <row r="7" customFormat="false" ht="15" hidden="false" customHeight="true" outlineLevel="0" collapsed="false">
      <c r="A7" s="6" t="s">
        <v>644</v>
      </c>
      <c r="B7" s="7" t="s">
        <v>645</v>
      </c>
      <c r="C7" s="21" t="n">
        <v>200000</v>
      </c>
      <c r="D7" s="33"/>
      <c r="E7" s="9" t="s">
        <v>646</v>
      </c>
    </row>
    <row r="8" customFormat="false" ht="15" hidden="false" customHeight="true" outlineLevel="0" collapsed="false">
      <c r="A8" s="6" t="s">
        <v>647</v>
      </c>
      <c r="B8" s="7" t="s">
        <v>648</v>
      </c>
      <c r="C8" s="21" t="n">
        <v>400000</v>
      </c>
      <c r="D8" s="33"/>
      <c r="E8" s="9" t="s">
        <v>649</v>
      </c>
    </row>
    <row r="9" customFormat="false" ht="15" hidden="false" customHeight="true" outlineLevel="0" collapsed="false">
      <c r="A9" s="6" t="s">
        <v>650</v>
      </c>
      <c r="B9" s="7" t="s">
        <v>651</v>
      </c>
      <c r="C9" s="21" t="n">
        <v>300000</v>
      </c>
      <c r="D9" s="33"/>
      <c r="E9" s="9" t="s">
        <v>652</v>
      </c>
    </row>
    <row r="10" customFormat="false" ht="15" hidden="false" customHeight="true" outlineLevel="0" collapsed="false">
      <c r="A10" s="6" t="s">
        <v>653</v>
      </c>
      <c r="B10" s="7" t="s">
        <v>654</v>
      </c>
      <c r="C10" s="21" t="n">
        <v>2000000</v>
      </c>
      <c r="D10" s="33"/>
      <c r="E10" s="9" t="s">
        <v>655</v>
      </c>
    </row>
    <row r="11" customFormat="false" ht="15" hidden="false" customHeight="true" outlineLevel="0" collapsed="false">
      <c r="A11" s="6" t="s">
        <v>656</v>
      </c>
      <c r="B11" s="7" t="s">
        <v>657</v>
      </c>
      <c r="C11" s="21" t="n">
        <v>5000000</v>
      </c>
      <c r="D11" s="33"/>
      <c r="E11" s="9" t="s">
        <v>658</v>
      </c>
    </row>
    <row r="12" customFormat="false" ht="15" hidden="false" customHeight="true" outlineLevel="0" collapsed="false">
      <c r="A12" s="7"/>
      <c r="B12" s="16" t="s">
        <v>659</v>
      </c>
      <c r="C12" s="34" t="n">
        <f aca="false">SUM(C6:C11)</f>
        <v>57900000</v>
      </c>
      <c r="D12" s="7"/>
      <c r="E12" s="7"/>
    </row>
    <row r="13" customFormat="false" ht="15" hidden="false" customHeight="true" outlineLevel="0" collapsed="false">
      <c r="A13" s="24"/>
      <c r="B13" s="24"/>
      <c r="C13" s="24"/>
      <c r="D13" s="24"/>
      <c r="E13" s="24"/>
    </row>
    <row r="14" customFormat="false" ht="15" hidden="false" customHeight="true" outlineLevel="0" collapsed="false">
      <c r="A14" s="5"/>
      <c r="B14" s="5" t="s">
        <v>660</v>
      </c>
      <c r="C14" s="5"/>
      <c r="D14" s="5"/>
      <c r="E14" s="5"/>
    </row>
    <row r="15" customFormat="false" ht="15" hidden="false" customHeight="true" outlineLevel="0" collapsed="false">
      <c r="A15" s="6" t="s">
        <v>661</v>
      </c>
      <c r="B15" s="7" t="s">
        <v>662</v>
      </c>
      <c r="C15" s="21" t="n">
        <v>250000</v>
      </c>
      <c r="D15" s="33"/>
      <c r="E15" s="9" t="s">
        <v>663</v>
      </c>
    </row>
    <row r="16" customFormat="false" ht="15" hidden="false" customHeight="true" outlineLevel="0" collapsed="false">
      <c r="A16" s="6" t="s">
        <v>664</v>
      </c>
      <c r="B16" s="7" t="s">
        <v>665</v>
      </c>
      <c r="C16" s="21" t="n">
        <v>60000</v>
      </c>
      <c r="D16" s="33"/>
      <c r="E16" s="9" t="s">
        <v>666</v>
      </c>
    </row>
    <row r="17" customFormat="false" ht="15" hidden="false" customHeight="true" outlineLevel="0" collapsed="false">
      <c r="A17" s="6" t="s">
        <v>667</v>
      </c>
      <c r="B17" s="7" t="s">
        <v>668</v>
      </c>
      <c r="C17" s="21" t="n">
        <v>120000</v>
      </c>
      <c r="D17" s="33"/>
      <c r="E17" s="9" t="s">
        <v>669</v>
      </c>
    </row>
    <row r="18" customFormat="false" ht="15" hidden="false" customHeight="true" outlineLevel="0" collapsed="false">
      <c r="A18" s="6" t="s">
        <v>670</v>
      </c>
      <c r="B18" s="7" t="s">
        <v>671</v>
      </c>
      <c r="C18" s="21" t="n">
        <v>300000</v>
      </c>
      <c r="D18" s="33"/>
      <c r="E18" s="9" t="s">
        <v>672</v>
      </c>
    </row>
    <row r="19" customFormat="false" ht="15" hidden="false" customHeight="true" outlineLevel="0" collapsed="false">
      <c r="A19" s="6" t="s">
        <v>673</v>
      </c>
      <c r="B19" s="7" t="s">
        <v>674</v>
      </c>
      <c r="C19" s="21" t="n">
        <v>250000</v>
      </c>
      <c r="D19" s="33"/>
      <c r="E19" s="9" t="s">
        <v>675</v>
      </c>
    </row>
    <row r="20" customFormat="false" ht="15" hidden="false" customHeight="true" outlineLevel="0" collapsed="false">
      <c r="A20" s="6" t="s">
        <v>676</v>
      </c>
      <c r="B20" s="7" t="s">
        <v>677</v>
      </c>
      <c r="C20" s="21" t="n">
        <v>100000</v>
      </c>
      <c r="D20" s="33"/>
      <c r="E20" s="9" t="s">
        <v>678</v>
      </c>
    </row>
    <row r="21" customFormat="false" ht="15" hidden="false" customHeight="true" outlineLevel="0" collapsed="false">
      <c r="A21" s="7"/>
      <c r="B21" s="16" t="s">
        <v>679</v>
      </c>
      <c r="C21" s="34" t="n">
        <f aca="false">IF('3-Operations'!C6=1,SUM(C15:C20),0)</f>
        <v>1080000</v>
      </c>
      <c r="D21" s="7"/>
      <c r="E21" s="7"/>
    </row>
    <row r="22" customFormat="false" ht="15" hidden="false" customHeight="true" outlineLevel="0" collapsed="false">
      <c r="A22" s="24"/>
      <c r="B22" s="24"/>
      <c r="C22" s="24"/>
      <c r="D22" s="24"/>
      <c r="E22" s="24"/>
    </row>
    <row r="23" customFormat="false" ht="15" hidden="false" customHeight="true" outlineLevel="0" collapsed="false">
      <c r="A23" s="5"/>
      <c r="B23" s="5" t="s">
        <v>680</v>
      </c>
      <c r="C23" s="5"/>
      <c r="D23" s="5"/>
      <c r="E23" s="5"/>
    </row>
    <row r="24" customFormat="false" ht="15" hidden="false" customHeight="true" outlineLevel="0" collapsed="false">
      <c r="A24" s="6" t="s">
        <v>681</v>
      </c>
      <c r="B24" s="7" t="s">
        <v>682</v>
      </c>
      <c r="C24" s="21" t="n">
        <v>80000</v>
      </c>
      <c r="D24" s="33"/>
      <c r="E24" s="9" t="s">
        <v>683</v>
      </c>
    </row>
    <row r="25" customFormat="false" ht="15" hidden="false" customHeight="true" outlineLevel="0" collapsed="false">
      <c r="A25" s="6" t="s">
        <v>684</v>
      </c>
      <c r="B25" s="7" t="s">
        <v>685</v>
      </c>
      <c r="C25" s="21" t="n">
        <v>40000</v>
      </c>
      <c r="D25" s="33"/>
      <c r="E25" s="9" t="s">
        <v>686</v>
      </c>
    </row>
    <row r="26" customFormat="false" ht="15" hidden="false" customHeight="true" outlineLevel="0" collapsed="false">
      <c r="A26" s="6" t="s">
        <v>687</v>
      </c>
      <c r="B26" s="7" t="s">
        <v>688</v>
      </c>
      <c r="C26" s="21" t="n">
        <v>80000</v>
      </c>
      <c r="D26" s="33"/>
      <c r="E26" s="9" t="s">
        <v>689</v>
      </c>
    </row>
    <row r="27" customFormat="false" ht="15" hidden="false" customHeight="true" outlineLevel="0" collapsed="false">
      <c r="A27" s="6" t="s">
        <v>690</v>
      </c>
      <c r="B27" s="7" t="s">
        <v>691</v>
      </c>
      <c r="C27" s="21" t="n">
        <v>150000</v>
      </c>
      <c r="D27" s="33"/>
      <c r="E27" s="9" t="s">
        <v>692</v>
      </c>
    </row>
    <row r="28" customFormat="false" ht="15" hidden="false" customHeight="true" outlineLevel="0" collapsed="false">
      <c r="A28" s="6" t="s">
        <v>693</v>
      </c>
      <c r="B28" s="7" t="s">
        <v>694</v>
      </c>
      <c r="C28" s="21" t="n">
        <v>80000</v>
      </c>
      <c r="D28" s="33"/>
      <c r="E28" s="9" t="s">
        <v>678</v>
      </c>
    </row>
    <row r="29" customFormat="false" ht="15" hidden="false" customHeight="true" outlineLevel="0" collapsed="false">
      <c r="A29" s="7"/>
      <c r="B29" s="16" t="s">
        <v>695</v>
      </c>
      <c r="C29" s="34" t="n">
        <f aca="false">IF('3-Operations'!C7=1,SUM(C24:C28),0)</f>
        <v>430000</v>
      </c>
      <c r="D29" s="7"/>
      <c r="E29" s="7"/>
    </row>
    <row r="30" customFormat="false" ht="15" hidden="false" customHeight="true" outlineLevel="0" collapsed="false">
      <c r="A30" s="24"/>
      <c r="B30" s="24"/>
      <c r="C30" s="24"/>
      <c r="D30" s="24"/>
      <c r="E30" s="24"/>
    </row>
    <row r="31" customFormat="false" ht="15" hidden="false" customHeight="true" outlineLevel="0" collapsed="false">
      <c r="A31" s="5"/>
      <c r="B31" s="5" t="s">
        <v>696</v>
      </c>
      <c r="C31" s="5"/>
      <c r="D31" s="5"/>
      <c r="E31" s="5"/>
    </row>
    <row r="32" customFormat="false" ht="15" hidden="false" customHeight="true" outlineLevel="0" collapsed="false">
      <c r="A32" s="6" t="s">
        <v>697</v>
      </c>
      <c r="B32" s="7" t="s">
        <v>698</v>
      </c>
      <c r="C32" s="21" t="n">
        <v>400000</v>
      </c>
      <c r="D32" s="33"/>
      <c r="E32" s="9" t="s">
        <v>699</v>
      </c>
    </row>
    <row r="33" customFormat="false" ht="15" hidden="false" customHeight="true" outlineLevel="0" collapsed="false">
      <c r="A33" s="6" t="s">
        <v>700</v>
      </c>
      <c r="B33" s="7" t="s">
        <v>701</v>
      </c>
      <c r="C33" s="21" t="n">
        <v>250000</v>
      </c>
      <c r="D33" s="7"/>
      <c r="E33" s="9" t="s">
        <v>702</v>
      </c>
    </row>
    <row r="34" customFormat="false" ht="15" hidden="false" customHeight="true" outlineLevel="0" collapsed="false">
      <c r="A34" s="6" t="s">
        <v>703</v>
      </c>
      <c r="B34" s="7" t="s">
        <v>704</v>
      </c>
      <c r="C34" s="21" t="n">
        <v>350000</v>
      </c>
      <c r="D34" s="7"/>
      <c r="E34" s="9" t="s">
        <v>705</v>
      </c>
    </row>
    <row r="35" customFormat="false" ht="15" hidden="false" customHeight="true" outlineLevel="0" collapsed="false">
      <c r="A35" s="6" t="s">
        <v>706</v>
      </c>
      <c r="B35" s="7" t="s">
        <v>707</v>
      </c>
      <c r="C35" s="21" t="n">
        <v>150000</v>
      </c>
      <c r="D35" s="7"/>
      <c r="E35" s="9" t="s">
        <v>708</v>
      </c>
    </row>
    <row r="36" customFormat="false" ht="15" hidden="false" customHeight="true" outlineLevel="0" collapsed="false">
      <c r="A36" s="6" t="s">
        <v>709</v>
      </c>
      <c r="B36" s="7" t="s">
        <v>710</v>
      </c>
      <c r="C36" s="21" t="n">
        <v>200000</v>
      </c>
      <c r="D36" s="7"/>
      <c r="E36" s="9" t="s">
        <v>711</v>
      </c>
    </row>
    <row r="37" customFormat="false" ht="15" hidden="false" customHeight="true" outlineLevel="0" collapsed="false">
      <c r="A37" s="6" t="s">
        <v>712</v>
      </c>
      <c r="B37" s="7" t="s">
        <v>713</v>
      </c>
      <c r="C37" s="21" t="n">
        <v>50000</v>
      </c>
      <c r="D37" s="7"/>
      <c r="E37" s="9" t="s">
        <v>714</v>
      </c>
    </row>
    <row r="38" customFormat="false" ht="15" hidden="false" customHeight="true" outlineLevel="0" collapsed="false">
      <c r="A38" s="7"/>
      <c r="B38" s="16" t="s">
        <v>715</v>
      </c>
      <c r="C38" s="34" t="n">
        <f aca="false">SUM(C32:C37)</f>
        <v>1400000</v>
      </c>
      <c r="D38" s="7"/>
      <c r="E38" s="7"/>
    </row>
    <row r="39" customFormat="false" ht="15" hidden="false" customHeight="true" outlineLevel="0" collapsed="false">
      <c r="A39" s="24"/>
      <c r="B39" s="24"/>
      <c r="C39" s="35"/>
      <c r="D39" s="24"/>
      <c r="E39" s="24"/>
    </row>
    <row r="40" customFormat="false" ht="15" hidden="false" customHeight="true" outlineLevel="0" collapsed="false">
      <c r="A40" s="5"/>
      <c r="B40" s="5" t="s">
        <v>716</v>
      </c>
      <c r="C40" s="5"/>
      <c r="D40" s="5"/>
      <c r="E40" s="5"/>
    </row>
    <row r="41" customFormat="false" ht="15" hidden="false" customHeight="true" outlineLevel="0" collapsed="false">
      <c r="A41" s="6" t="s">
        <v>717</v>
      </c>
      <c r="B41" s="7" t="s">
        <v>718</v>
      </c>
      <c r="C41" s="34" t="n">
        <f aca="false">(C12+C21+C29)*0.05</f>
        <v>2970500</v>
      </c>
      <c r="D41" s="7"/>
      <c r="E41" s="9" t="s">
        <v>719</v>
      </c>
    </row>
    <row r="42" customFormat="false" ht="15" hidden="false" customHeight="true" outlineLevel="0" collapsed="false">
      <c r="A42" s="24"/>
      <c r="B42" s="24"/>
      <c r="C42" s="24"/>
      <c r="D42" s="24"/>
      <c r="E42" s="24"/>
    </row>
    <row r="43" customFormat="false" ht="15" hidden="false" customHeight="true" outlineLevel="0" collapsed="false">
      <c r="A43" s="7"/>
      <c r="B43" s="36" t="s">
        <v>720</v>
      </c>
      <c r="C43" s="37" t="n">
        <f aca="false">C12+C21+C29+C38+C41</f>
        <v>63780500</v>
      </c>
      <c r="D43" s="7"/>
      <c r="E43" s="7"/>
    </row>
    <row r="44" customFormat="false" ht="15" hidden="false" customHeight="true" outlineLevel="0" collapsed="false">
      <c r="A44" s="24"/>
      <c r="B44" s="24"/>
      <c r="C44" s="24"/>
      <c r="D44" s="24"/>
      <c r="E44" s="24"/>
    </row>
    <row r="45" customFormat="false" ht="15" hidden="false" customHeight="true" outlineLevel="0" collapsed="false">
      <c r="A45" s="5"/>
      <c r="B45" s="5" t="s">
        <v>721</v>
      </c>
      <c r="C45" s="5"/>
      <c r="D45" s="5"/>
      <c r="E45" s="5"/>
    </row>
    <row r="46" customFormat="false" ht="15" hidden="false" customHeight="true" outlineLevel="0" collapsed="false">
      <c r="A46" s="7"/>
      <c r="B46" s="7" t="s">
        <v>722</v>
      </c>
      <c r="C46" s="38" t="n">
        <f aca="false">C43*'2-Financial Inputs'!C6</f>
        <v>44646350</v>
      </c>
      <c r="D46" s="7" t="s">
        <v>723</v>
      </c>
      <c r="E46" s="7"/>
    </row>
    <row r="47" customFormat="false" ht="15" hidden="false" customHeight="true" outlineLevel="0" collapsed="false">
      <c r="A47" s="7"/>
      <c r="B47" s="7" t="s">
        <v>724</v>
      </c>
      <c r="C47" s="38" t="n">
        <f aca="false">C43-C46</f>
        <v>19134150</v>
      </c>
      <c r="D47" s="7" t="s">
        <v>723</v>
      </c>
      <c r="E47" s="7"/>
    </row>
    <row r="48" customFormat="false" ht="15" hidden="false" customHeight="true" outlineLevel="0" collapsed="false">
      <c r="A48" s="7"/>
      <c r="B48" s="7" t="s">
        <v>725</v>
      </c>
      <c r="C48" s="38" t="n">
        <f aca="false">C43/'2-Financial Inputs'!C10</f>
        <v>4252033.33333333</v>
      </c>
      <c r="D48" s="7" t="s">
        <v>291</v>
      </c>
      <c r="E48" s="7"/>
    </row>
    <row r="49" customFormat="false" ht="15" hidden="false" customHeight="true" outlineLevel="0" collapsed="false">
      <c r="A49" s="24"/>
      <c r="B49" s="24"/>
      <c r="C49" s="24"/>
      <c r="D49" s="24"/>
      <c r="E49" s="24"/>
    </row>
    <row r="50" customFormat="false" ht="15" hidden="false" customHeight="true" outlineLevel="0" collapsed="false">
      <c r="A50" s="5"/>
      <c r="B50" s="5" t="s">
        <v>726</v>
      </c>
      <c r="C50" s="5"/>
      <c r="D50" s="5"/>
      <c r="E50" s="5"/>
    </row>
    <row r="51" customFormat="false" ht="15" hidden="false" customHeight="true" outlineLevel="0" collapsed="false">
      <c r="A51" s="15"/>
      <c r="B51" s="7" t="s">
        <v>727</v>
      </c>
      <c r="C51" s="17" t="n">
        <f aca="false">IF(C43=0,0,C12/C43)</f>
        <v>0.907800973651821</v>
      </c>
      <c r="D51" s="15"/>
      <c r="E51" s="15"/>
    </row>
    <row r="52" customFormat="false" ht="15" hidden="false" customHeight="true" outlineLevel="0" collapsed="false">
      <c r="A52" s="15"/>
      <c r="B52" s="7" t="s">
        <v>728</v>
      </c>
      <c r="C52" s="17" t="n">
        <f aca="false">IF(C43=0,0,C21/C43)</f>
        <v>0.0169330751561998</v>
      </c>
      <c r="D52" s="15"/>
      <c r="E52" s="15"/>
    </row>
    <row r="53" customFormat="false" ht="15" hidden="false" customHeight="true" outlineLevel="0" collapsed="false">
      <c r="A53" s="15"/>
      <c r="B53" s="7" t="s">
        <v>729</v>
      </c>
      <c r="C53" s="17" t="n">
        <f aca="false">IF(C43=0,0,C29/C43)</f>
        <v>0.00674187251589436</v>
      </c>
      <c r="D53" s="15"/>
      <c r="E53" s="15"/>
    </row>
    <row r="54" customFormat="false" ht="15" hidden="false" customHeight="true" outlineLevel="0" collapsed="false">
      <c r="A54" s="15"/>
      <c r="B54" s="7" t="s">
        <v>730</v>
      </c>
      <c r="C54" s="17" t="n">
        <f aca="false">IF(C43=0,0,C38/C43)</f>
        <v>0.0219502826098886</v>
      </c>
      <c r="D54" s="15"/>
      <c r="E54" s="15"/>
    </row>
    <row r="55" customFormat="false" ht="15" hidden="false" customHeight="true" outlineLevel="0" collapsed="false">
      <c r="A55" s="15"/>
      <c r="B55" s="7" t="s">
        <v>731</v>
      </c>
      <c r="C55" s="17" t="n">
        <f aca="false">IF(C43=0,0,C41/C43)</f>
        <v>0.0465737960661958</v>
      </c>
      <c r="D55" s="15"/>
      <c r="E55" s="15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25" activeCellId="0" sqref="C25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17" min="3" style="1" width="14"/>
  </cols>
  <sheetData>
    <row r="1" customFormat="false" ht="15.75" hidden="false" customHeight="true" outlineLevel="0" collapsed="false">
      <c r="A1" s="2" t="s">
        <v>732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B3" s="39"/>
      <c r="C3" s="40" t="s">
        <v>733</v>
      </c>
      <c r="D3" s="40" t="s">
        <v>734</v>
      </c>
      <c r="E3" s="40" t="s">
        <v>735</v>
      </c>
      <c r="F3" s="40" t="s">
        <v>736</v>
      </c>
      <c r="G3" s="40" t="s">
        <v>737</v>
      </c>
      <c r="H3" s="40" t="s">
        <v>738</v>
      </c>
      <c r="I3" s="40" t="s">
        <v>739</v>
      </c>
      <c r="J3" s="40" t="s">
        <v>740</v>
      </c>
      <c r="K3" s="40" t="s">
        <v>741</v>
      </c>
      <c r="L3" s="40" t="s">
        <v>742</v>
      </c>
      <c r="M3" s="40" t="s">
        <v>743</v>
      </c>
      <c r="N3" s="40" t="s">
        <v>744</v>
      </c>
      <c r="O3" s="40" t="s">
        <v>745</v>
      </c>
      <c r="P3" s="40" t="s">
        <v>746</v>
      </c>
      <c r="Q3" s="40" t="s">
        <v>747</v>
      </c>
    </row>
    <row r="4" customFormat="false" ht="15" hidden="false" customHeight="true" outlineLevel="0" collapsed="false">
      <c r="B4" s="24" t="s">
        <v>748</v>
      </c>
      <c r="C4" s="41" t="n">
        <f aca="false">'3-Operations'!C30</f>
        <v>0.7</v>
      </c>
      <c r="D4" s="41" t="n">
        <f aca="false">'3-Operations'!C31</f>
        <v>0.85</v>
      </c>
      <c r="E4" s="41" t="n">
        <f aca="false">'3-Operations'!C32</f>
        <v>1</v>
      </c>
      <c r="F4" s="41" t="n">
        <f aca="false">'3-Operations'!C32</f>
        <v>1</v>
      </c>
      <c r="G4" s="41" t="n">
        <f aca="false">'3-Operations'!C32</f>
        <v>1</v>
      </c>
      <c r="H4" s="41" t="n">
        <f aca="false">'3-Operations'!C32</f>
        <v>1</v>
      </c>
      <c r="I4" s="41" t="n">
        <f aca="false">'3-Operations'!C32</f>
        <v>1</v>
      </c>
      <c r="J4" s="41" t="n">
        <f aca="false">'3-Operations'!C32</f>
        <v>1</v>
      </c>
      <c r="K4" s="41" t="n">
        <f aca="false">'3-Operations'!C32</f>
        <v>1</v>
      </c>
      <c r="L4" s="41" t="n">
        <f aca="false">'3-Operations'!C32</f>
        <v>1</v>
      </c>
      <c r="M4" s="41" t="n">
        <f aca="false">'3-Operations'!C32</f>
        <v>1</v>
      </c>
      <c r="N4" s="41" t="n">
        <f aca="false">'3-Operations'!C32</f>
        <v>1</v>
      </c>
      <c r="O4" s="41" t="n">
        <f aca="false">'3-Operations'!C32</f>
        <v>1</v>
      </c>
      <c r="P4" s="41" t="n">
        <f aca="false">'3-Operations'!C32</f>
        <v>1</v>
      </c>
      <c r="Q4" s="41" t="n">
        <f aca="false">'3-Operations'!C32</f>
        <v>1</v>
      </c>
    </row>
    <row r="5" customFormat="false" ht="15" hidden="false" customHeight="true" outlineLevel="0" collapsed="false">
      <c r="B5" s="24" t="s">
        <v>749</v>
      </c>
      <c r="C5" s="42" t="n">
        <f aca="false">'1-Waste Input'!C12*C4</f>
        <v>32340</v>
      </c>
      <c r="D5" s="42" t="n">
        <f aca="false">'1-Waste Input'!C12*D4</f>
        <v>39270</v>
      </c>
      <c r="E5" s="42" t="n">
        <f aca="false">'1-Waste Input'!C12*E4</f>
        <v>46200</v>
      </c>
      <c r="F5" s="42" t="n">
        <f aca="false">'1-Waste Input'!C12*F4</f>
        <v>46200</v>
      </c>
      <c r="G5" s="42" t="n">
        <f aca="false">'1-Waste Input'!C12*G4</f>
        <v>46200</v>
      </c>
      <c r="H5" s="42" t="n">
        <f aca="false">'1-Waste Input'!C12*H4</f>
        <v>46200</v>
      </c>
      <c r="I5" s="42" t="n">
        <f aca="false">'1-Waste Input'!C12*I4</f>
        <v>46200</v>
      </c>
      <c r="J5" s="42" t="n">
        <f aca="false">'1-Waste Input'!C12*J4</f>
        <v>46200</v>
      </c>
      <c r="K5" s="42" t="n">
        <f aca="false">'1-Waste Input'!C12*K4</f>
        <v>46200</v>
      </c>
      <c r="L5" s="42" t="n">
        <f aca="false">'1-Waste Input'!C12*L4</f>
        <v>46200</v>
      </c>
      <c r="M5" s="42" t="n">
        <f aca="false">'1-Waste Input'!C12*M4</f>
        <v>46200</v>
      </c>
      <c r="N5" s="42" t="n">
        <f aca="false">'1-Waste Input'!C12*N4</f>
        <v>46200</v>
      </c>
      <c r="O5" s="42" t="n">
        <f aca="false">'1-Waste Input'!C12*O4</f>
        <v>46200</v>
      </c>
      <c r="P5" s="42" t="n">
        <f aca="false">'1-Waste Input'!C12*P4</f>
        <v>46200</v>
      </c>
      <c r="Q5" s="42" t="n">
        <f aca="false">'1-Waste Input'!C12*Q4</f>
        <v>46200</v>
      </c>
    </row>
    <row r="7" customFormat="false" ht="15" hidden="false" customHeight="true" outlineLevel="0" collapsed="false">
      <c r="A7" s="5"/>
      <c r="B7" s="5" t="s">
        <v>750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customFormat="false" ht="15" hidden="false" customHeight="true" outlineLevel="0" collapsed="false">
      <c r="B8" s="24" t="s">
        <v>751</v>
      </c>
      <c r="C8" s="42" t="n">
        <f aca="false">'2-Financial Inputs'!$C$22*C5*(1+'2-Financial Inputs'!$C$11)^0</f>
        <v>3557400</v>
      </c>
      <c r="D8" s="42" t="n">
        <f aca="false">'2-Financial Inputs'!$C$22*D5*(1+'2-Financial Inputs'!$C$11)^1</f>
        <v>4406094</v>
      </c>
      <c r="E8" s="42" t="n">
        <f aca="false">'2-Financial Inputs'!$C$22*E5*(1+'2-Financial Inputs'!$C$11)^2</f>
        <v>5287312.8</v>
      </c>
      <c r="F8" s="42" t="n">
        <f aca="false">'2-Financial Inputs'!$C$22*F5*(1+'2-Financial Inputs'!$C$11)^3</f>
        <v>5393059.056</v>
      </c>
      <c r="G8" s="42" t="n">
        <f aca="false">'2-Financial Inputs'!$C$22*G5*(1+'2-Financial Inputs'!$C$11)^4</f>
        <v>5500920.23712</v>
      </c>
      <c r="H8" s="42" t="n">
        <f aca="false">'2-Financial Inputs'!$C$22*H5*(1+'2-Financial Inputs'!$C$11)^5</f>
        <v>5610938.6418624</v>
      </c>
      <c r="I8" s="42" t="n">
        <f aca="false">'2-Financial Inputs'!$C$22*I5*(1+'2-Financial Inputs'!$C$11)^6</f>
        <v>5723157.41469965</v>
      </c>
      <c r="J8" s="42" t="n">
        <f aca="false">'2-Financial Inputs'!$C$22*J5*(1+'2-Financial Inputs'!$C$11)^7</f>
        <v>5837620.56299364</v>
      </c>
      <c r="K8" s="42" t="n">
        <f aca="false">'2-Financial Inputs'!$C$22*K5*(1+'2-Financial Inputs'!$C$11)^8</f>
        <v>5954372.97425352</v>
      </c>
      <c r="L8" s="42" t="n">
        <f aca="false">'2-Financial Inputs'!$C$22*L5*(1+'2-Financial Inputs'!$C$11)^9</f>
        <v>6073460.43373859</v>
      </c>
      <c r="M8" s="42" t="n">
        <f aca="false">'2-Financial Inputs'!$C$22*M5*(1+'2-Financial Inputs'!$C$11)^10</f>
        <v>6194929.64241336</v>
      </c>
      <c r="N8" s="42" t="n">
        <f aca="false">'2-Financial Inputs'!$C$22*N5*(1+'2-Financial Inputs'!$C$11)^11</f>
        <v>6318828.23526162</v>
      </c>
      <c r="O8" s="42" t="n">
        <f aca="false">'2-Financial Inputs'!$C$22*O5*(1+'2-Financial Inputs'!$C$11)^12</f>
        <v>6445204.79996686</v>
      </c>
      <c r="P8" s="42" t="n">
        <f aca="false">'2-Financial Inputs'!$C$22*P5*(1+'2-Financial Inputs'!$C$11)^13</f>
        <v>6574108.89596619</v>
      </c>
      <c r="Q8" s="42" t="n">
        <f aca="false">'2-Financial Inputs'!$C$22*Q5*(1+'2-Financial Inputs'!$C$11)^14</f>
        <v>6705591.07388552</v>
      </c>
    </row>
    <row r="10" customFormat="false" ht="15" hidden="false" customHeight="true" outlineLevel="0" collapsed="false">
      <c r="A10" s="5"/>
      <c r="B10" s="5" t="s">
        <v>752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customFormat="false" ht="15" hidden="false" customHeight="true" outlineLevel="0" collapsed="false">
      <c r="B11" s="24" t="s">
        <v>753</v>
      </c>
      <c r="C11" s="42" t="n">
        <f aca="false">'4-Production Calcs'!C92*C4</f>
        <v>7753461.73411765</v>
      </c>
      <c r="D11" s="42" t="n">
        <f aca="false">'4-Production Calcs'!C92*D4</f>
        <v>9414917.82</v>
      </c>
      <c r="E11" s="42" t="n">
        <f aca="false">'4-Production Calcs'!C92*E4</f>
        <v>11076373.9058824</v>
      </c>
      <c r="F11" s="42" t="n">
        <f aca="false">'4-Production Calcs'!C92*F4</f>
        <v>11076373.9058824</v>
      </c>
      <c r="G11" s="42" t="n">
        <f aca="false">'4-Production Calcs'!C92*G4</f>
        <v>11076373.9058824</v>
      </c>
      <c r="H11" s="42" t="n">
        <f aca="false">'4-Production Calcs'!C92*H4</f>
        <v>11076373.9058824</v>
      </c>
      <c r="I11" s="42" t="n">
        <f aca="false">'4-Production Calcs'!C92*I4</f>
        <v>11076373.9058824</v>
      </c>
      <c r="J11" s="42" t="n">
        <f aca="false">'4-Production Calcs'!C92*J4</f>
        <v>11076373.9058824</v>
      </c>
      <c r="K11" s="42" t="n">
        <f aca="false">'4-Production Calcs'!C92*K4</f>
        <v>11076373.9058824</v>
      </c>
      <c r="L11" s="42" t="n">
        <f aca="false">'4-Production Calcs'!C92*L4</f>
        <v>11076373.9058824</v>
      </c>
      <c r="M11" s="42" t="n">
        <f aca="false">'4-Production Calcs'!C92*M4</f>
        <v>11076373.9058824</v>
      </c>
      <c r="N11" s="42" t="n">
        <f aca="false">'4-Production Calcs'!C92*N4</f>
        <v>11076373.9058824</v>
      </c>
      <c r="O11" s="42" t="n">
        <f aca="false">'4-Production Calcs'!C92*O4</f>
        <v>11076373.9058824</v>
      </c>
      <c r="P11" s="42" t="n">
        <f aca="false">'4-Production Calcs'!C92*P4</f>
        <v>11076373.9058824</v>
      </c>
      <c r="Q11" s="42" t="n">
        <f aca="false">'4-Production Calcs'!C92*Q4</f>
        <v>11076373.9058824</v>
      </c>
    </row>
    <row r="12" customFormat="false" ht="15" hidden="false" customHeight="true" outlineLevel="0" collapsed="false">
      <c r="B12" s="39" t="s">
        <v>754</v>
      </c>
      <c r="C12" s="42" t="n">
        <f aca="false">C11*'2-Financial Inputs'!$C$34*(1+'2-Financial Inputs'!$C$11)^0</f>
        <v>4224473.625834</v>
      </c>
      <c r="D12" s="42" t="n">
        <f aca="false">D11*'2-Financial Inputs'!$C$34*(1+'2-Financial Inputs'!$C$11)^1</f>
        <v>5232312.33371154</v>
      </c>
      <c r="E12" s="42" t="n">
        <f aca="false">E11*'2-Financial Inputs'!$C$34*(1+'2-Financial Inputs'!$C$11)^2</f>
        <v>6278774.80045385</v>
      </c>
      <c r="F12" s="42" t="n">
        <f aca="false">F11*'2-Financial Inputs'!$C$34*(1+'2-Financial Inputs'!$C$11)^3</f>
        <v>6404350.29646293</v>
      </c>
      <c r="G12" s="42" t="n">
        <f aca="false">G11*'2-Financial Inputs'!$C$34*(1+'2-Financial Inputs'!$C$11)^4</f>
        <v>6532437.30239218</v>
      </c>
      <c r="H12" s="42" t="n">
        <f aca="false">H11*'2-Financial Inputs'!$C$34*(1+'2-Financial Inputs'!$C$11)^5</f>
        <v>6663086.04844003</v>
      </c>
      <c r="I12" s="42" t="n">
        <f aca="false">I11*'2-Financial Inputs'!$C$34*(1+'2-Financial Inputs'!$C$11)^6</f>
        <v>6796347.76940883</v>
      </c>
      <c r="J12" s="42" t="n">
        <f aca="false">J11*'2-Financial Inputs'!$C$34*(1+'2-Financial Inputs'!$C$11)^7</f>
        <v>6932274.72479701</v>
      </c>
      <c r="K12" s="42" t="n">
        <f aca="false">K11*'2-Financial Inputs'!$C$34*(1+'2-Financial Inputs'!$C$11)^8</f>
        <v>7070920.21929295</v>
      </c>
      <c r="L12" s="42" t="n">
        <f aca="false">L11*'2-Financial Inputs'!$C$34*(1+'2-Financial Inputs'!$C$11)^9</f>
        <v>7212338.62367881</v>
      </c>
      <c r="M12" s="42" t="n">
        <f aca="false">M11*'2-Financial Inputs'!$C$34*(1+'2-Financial Inputs'!$C$11)^10</f>
        <v>7356585.39615238</v>
      </c>
      <c r="N12" s="42" t="n">
        <f aca="false">N11*'2-Financial Inputs'!$C$34*(1+'2-Financial Inputs'!$C$11)^11</f>
        <v>7503717.10407543</v>
      </c>
      <c r="O12" s="42" t="n">
        <f aca="false">O11*'2-Financial Inputs'!$C$34*(1+'2-Financial Inputs'!$C$11)^12</f>
        <v>7653791.44615694</v>
      </c>
      <c r="P12" s="42" t="n">
        <f aca="false">P11*'2-Financial Inputs'!$C$34*(1+'2-Financial Inputs'!$C$11)^13</f>
        <v>7806867.27508008</v>
      </c>
      <c r="Q12" s="42" t="n">
        <f aca="false">Q11*'2-Financial Inputs'!$C$34*(1+'2-Financial Inputs'!$C$11)^14</f>
        <v>7963004.62058168</v>
      </c>
    </row>
    <row r="14" customFormat="false" ht="15" hidden="false" customHeight="true" outlineLevel="0" collapsed="false">
      <c r="A14" s="5"/>
      <c r="B14" s="5" t="s">
        <v>755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customFormat="false" ht="15" hidden="false" customHeight="true" outlineLevel="0" collapsed="false">
      <c r="B15" s="24" t="s">
        <v>756</v>
      </c>
      <c r="C15" s="42" t="n">
        <f aca="false">'4-Production Calcs'!C94*C4</f>
        <v>9570.8313855</v>
      </c>
      <c r="D15" s="42" t="n">
        <f aca="false">'4-Production Calcs'!C94*D4</f>
        <v>11621.72382525</v>
      </c>
      <c r="E15" s="42" t="n">
        <f aca="false">'4-Production Calcs'!C94*E4</f>
        <v>13672.616265</v>
      </c>
      <c r="F15" s="42" t="n">
        <f aca="false">'4-Production Calcs'!C94*F4</f>
        <v>13672.616265</v>
      </c>
      <c r="G15" s="42" t="n">
        <f aca="false">'4-Production Calcs'!C94*G4</f>
        <v>13672.616265</v>
      </c>
      <c r="H15" s="42" t="n">
        <f aca="false">'4-Production Calcs'!C94*H4</f>
        <v>13672.616265</v>
      </c>
      <c r="I15" s="42" t="n">
        <f aca="false">'4-Production Calcs'!C94*I4</f>
        <v>13672.616265</v>
      </c>
      <c r="J15" s="42" t="n">
        <f aca="false">'4-Production Calcs'!C94*J4</f>
        <v>13672.616265</v>
      </c>
      <c r="K15" s="42" t="n">
        <f aca="false">'4-Production Calcs'!C94*K4</f>
        <v>13672.616265</v>
      </c>
      <c r="L15" s="42" t="n">
        <f aca="false">'4-Production Calcs'!C94*L4</f>
        <v>13672.616265</v>
      </c>
      <c r="M15" s="42" t="n">
        <f aca="false">'4-Production Calcs'!C94*M4</f>
        <v>13672.616265</v>
      </c>
      <c r="N15" s="42" t="n">
        <f aca="false">'4-Production Calcs'!C94*N4</f>
        <v>13672.616265</v>
      </c>
      <c r="O15" s="42" t="n">
        <f aca="false">'4-Production Calcs'!C94*O4</f>
        <v>13672.616265</v>
      </c>
      <c r="P15" s="42" t="n">
        <f aca="false">'4-Production Calcs'!C94*P4</f>
        <v>13672.616265</v>
      </c>
      <c r="Q15" s="42" t="n">
        <f aca="false">'4-Production Calcs'!C94*Q4</f>
        <v>13672.616265</v>
      </c>
    </row>
    <row r="16" customFormat="false" ht="15" hidden="false" customHeight="true" outlineLevel="0" collapsed="false">
      <c r="B16" s="39" t="s">
        <v>757</v>
      </c>
      <c r="C16" s="42" t="n">
        <f aca="false">C15*'2-Financial Inputs'!$C$46*(1+'2-Financial Inputs'!$C$11)^0</f>
        <v>957083.13855</v>
      </c>
      <c r="D16" s="42" t="n">
        <f aca="false">D15*'2-Financial Inputs'!$C$46*(1+'2-Financial Inputs'!$C$11)^1</f>
        <v>1185415.8301755</v>
      </c>
      <c r="E16" s="42" t="n">
        <f aca="false">E15*'2-Financial Inputs'!$C$46*(1+'2-Financial Inputs'!$C$11)^2</f>
        <v>1422498.9962106</v>
      </c>
      <c r="F16" s="42" t="n">
        <f aca="false">F15*'2-Financial Inputs'!$C$46*(1+'2-Financial Inputs'!$C$11)^3</f>
        <v>1450948.97613481</v>
      </c>
      <c r="G16" s="42" t="n">
        <f aca="false">G15*'2-Financial Inputs'!$C$46*(1+'2-Financial Inputs'!$C$11)^4</f>
        <v>1479967.95565751</v>
      </c>
      <c r="H16" s="42" t="n">
        <f aca="false">H15*'2-Financial Inputs'!$C$46*(1+'2-Financial Inputs'!$C$11)^5</f>
        <v>1509567.31477066</v>
      </c>
      <c r="I16" s="42" t="n">
        <f aca="false">I15*'2-Financial Inputs'!$C$46*(1+'2-Financial Inputs'!$C$11)^6</f>
        <v>1539758.66106607</v>
      </c>
      <c r="J16" s="42" t="n">
        <f aca="false">J15*'2-Financial Inputs'!$C$46*(1+'2-Financial Inputs'!$C$11)^7</f>
        <v>1570553.83428739</v>
      </c>
      <c r="K16" s="42" t="n">
        <f aca="false">K15*'2-Financial Inputs'!$C$46*(1+'2-Financial Inputs'!$C$11)^8</f>
        <v>1601964.91097314</v>
      </c>
      <c r="L16" s="42" t="n">
        <f aca="false">L15*'2-Financial Inputs'!$C$46*(1+'2-Financial Inputs'!$C$11)^9</f>
        <v>1634004.2091926</v>
      </c>
      <c r="M16" s="42" t="n">
        <f aca="false">M15*'2-Financial Inputs'!$C$46*(1+'2-Financial Inputs'!$C$11)^10</f>
        <v>1666684.29337646</v>
      </c>
      <c r="N16" s="42" t="n">
        <f aca="false">N15*'2-Financial Inputs'!$C$46*(1+'2-Financial Inputs'!$C$11)^11</f>
        <v>1700017.97924399</v>
      </c>
      <c r="O16" s="42" t="n">
        <f aca="false">O15*'2-Financial Inputs'!$C$46*(1+'2-Financial Inputs'!$C$11)^12</f>
        <v>1734018.33882886</v>
      </c>
      <c r="P16" s="42" t="n">
        <f aca="false">P15*'2-Financial Inputs'!$C$46*(1+'2-Financial Inputs'!$C$11)^13</f>
        <v>1768698.70560544</v>
      </c>
      <c r="Q16" s="42" t="n">
        <f aca="false">Q15*'2-Financial Inputs'!$C$46*(1+'2-Financial Inputs'!$C$11)^14</f>
        <v>1804072.67971755</v>
      </c>
    </row>
    <row r="18" customFormat="false" ht="15" hidden="false" customHeight="true" outlineLevel="0" collapsed="false">
      <c r="A18" s="5"/>
      <c r="B18" s="5" t="s">
        <v>758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customFormat="false" ht="15" hidden="false" customHeight="true" outlineLevel="0" collapsed="false">
      <c r="B19" s="24" t="s">
        <v>759</v>
      </c>
      <c r="C19" s="42" t="n">
        <f aca="false">'4-Production Calcs'!C95*C4</f>
        <v>1319.22945</v>
      </c>
      <c r="D19" s="42" t="n">
        <f aca="false">'4-Production Calcs'!C95*D4</f>
        <v>1601.921475</v>
      </c>
      <c r="E19" s="42" t="n">
        <f aca="false">'4-Production Calcs'!C95*E4</f>
        <v>1884.6135</v>
      </c>
      <c r="F19" s="42" t="n">
        <f aca="false">'4-Production Calcs'!C95*F4</f>
        <v>1884.6135</v>
      </c>
      <c r="G19" s="42" t="n">
        <f aca="false">'4-Production Calcs'!C95*G4</f>
        <v>1884.6135</v>
      </c>
      <c r="H19" s="42" t="n">
        <f aca="false">'4-Production Calcs'!C95*H4</f>
        <v>1884.6135</v>
      </c>
      <c r="I19" s="42" t="n">
        <f aca="false">'4-Production Calcs'!C95*I4</f>
        <v>1884.6135</v>
      </c>
      <c r="J19" s="42" t="n">
        <f aca="false">'4-Production Calcs'!C95*J4</f>
        <v>1884.6135</v>
      </c>
      <c r="K19" s="42" t="n">
        <f aca="false">'4-Production Calcs'!C95*K4</f>
        <v>1884.6135</v>
      </c>
      <c r="L19" s="42" t="n">
        <f aca="false">'4-Production Calcs'!C95*L4</f>
        <v>1884.6135</v>
      </c>
      <c r="M19" s="42" t="n">
        <f aca="false">'4-Production Calcs'!C95*M4</f>
        <v>1884.6135</v>
      </c>
      <c r="N19" s="42" t="n">
        <f aca="false">'4-Production Calcs'!C95*N4</f>
        <v>1884.6135</v>
      </c>
      <c r="O19" s="42" t="n">
        <f aca="false">'4-Production Calcs'!C95*O4</f>
        <v>1884.6135</v>
      </c>
      <c r="P19" s="42" t="n">
        <f aca="false">'4-Production Calcs'!C95*P4</f>
        <v>1884.6135</v>
      </c>
      <c r="Q19" s="42" t="n">
        <f aca="false">'4-Production Calcs'!C95*Q4</f>
        <v>1884.6135</v>
      </c>
    </row>
    <row r="20" customFormat="false" ht="15" hidden="false" customHeight="true" outlineLevel="0" collapsed="false">
      <c r="B20" s="24" t="s">
        <v>760</v>
      </c>
      <c r="C20" s="42" t="n">
        <f aca="false">'4-Production Calcs'!C96*C4</f>
        <v>212.34444</v>
      </c>
      <c r="D20" s="42" t="n">
        <f aca="false">'4-Production Calcs'!C96*D4</f>
        <v>257.84682</v>
      </c>
      <c r="E20" s="42" t="n">
        <f aca="false">'4-Production Calcs'!C96*E4</f>
        <v>303.3492</v>
      </c>
      <c r="F20" s="42" t="n">
        <f aca="false">'4-Production Calcs'!C96*F4</f>
        <v>303.3492</v>
      </c>
      <c r="G20" s="42" t="n">
        <f aca="false">'4-Production Calcs'!C96*G4</f>
        <v>303.3492</v>
      </c>
      <c r="H20" s="42" t="n">
        <f aca="false">'4-Production Calcs'!C96*H4</f>
        <v>303.3492</v>
      </c>
      <c r="I20" s="42" t="n">
        <f aca="false">'4-Production Calcs'!C96*I4</f>
        <v>303.3492</v>
      </c>
      <c r="J20" s="42" t="n">
        <f aca="false">'4-Production Calcs'!C96*J4</f>
        <v>303.3492</v>
      </c>
      <c r="K20" s="42" t="n">
        <f aca="false">'4-Production Calcs'!C96*K4</f>
        <v>303.3492</v>
      </c>
      <c r="L20" s="42" t="n">
        <f aca="false">'4-Production Calcs'!C96*L4</f>
        <v>303.3492</v>
      </c>
      <c r="M20" s="42" t="n">
        <f aca="false">'4-Production Calcs'!C96*M4</f>
        <v>303.3492</v>
      </c>
      <c r="N20" s="42" t="n">
        <f aca="false">'4-Production Calcs'!C96*N4</f>
        <v>303.3492</v>
      </c>
      <c r="O20" s="42" t="n">
        <f aca="false">'4-Production Calcs'!C96*O4</f>
        <v>303.3492</v>
      </c>
      <c r="P20" s="42" t="n">
        <f aca="false">'4-Production Calcs'!C96*P4</f>
        <v>303.3492</v>
      </c>
      <c r="Q20" s="42" t="n">
        <f aca="false">'4-Production Calcs'!C96*Q4</f>
        <v>303.3492</v>
      </c>
    </row>
    <row r="21" customFormat="false" ht="15" hidden="false" customHeight="true" outlineLevel="0" collapsed="false">
      <c r="B21" s="39" t="s">
        <v>761</v>
      </c>
      <c r="C21" s="42" t="n">
        <f aca="false">(C19*'2-Financial Inputs'!$C$49+C20*'2-Financial Inputs'!$C$52)*(1+'2-Financial Inputs'!$C$11)^0</f>
        <v>393510.6945</v>
      </c>
      <c r="D21" s="42" t="n">
        <f aca="false">(D19*'2-Financial Inputs'!$C$49+D20*'2-Financial Inputs'!$C$52)*(1+'2-Financial Inputs'!$C$11)^1</f>
        <v>487391.103045</v>
      </c>
      <c r="E21" s="42" t="n">
        <f aca="false">(E19*'2-Financial Inputs'!$C$49+E20*'2-Financial Inputs'!$C$52)*(1+'2-Financial Inputs'!$C$11)^2</f>
        <v>584869.323654</v>
      </c>
      <c r="F21" s="42" t="n">
        <f aca="false">(F19*'2-Financial Inputs'!$C$49+F20*'2-Financial Inputs'!$C$52)*(1+'2-Financial Inputs'!$C$11)^3</f>
        <v>596566.71012708</v>
      </c>
      <c r="G21" s="42" t="n">
        <f aca="false">(G19*'2-Financial Inputs'!$C$49+G20*'2-Financial Inputs'!$C$52)*(1+'2-Financial Inputs'!$C$11)^4</f>
        <v>608498.044329622</v>
      </c>
      <c r="H21" s="42" t="n">
        <f aca="false">(H19*'2-Financial Inputs'!$C$49+H20*'2-Financial Inputs'!$C$52)*(1+'2-Financial Inputs'!$C$11)^5</f>
        <v>620668.005216214</v>
      </c>
      <c r="I21" s="42" t="n">
        <f aca="false">(I19*'2-Financial Inputs'!$C$49+I20*'2-Financial Inputs'!$C$52)*(1+'2-Financial Inputs'!$C$11)^6</f>
        <v>633081.365320538</v>
      </c>
      <c r="J21" s="42" t="n">
        <f aca="false">(J19*'2-Financial Inputs'!$C$49+J20*'2-Financial Inputs'!$C$52)*(1+'2-Financial Inputs'!$C$11)^7</f>
        <v>645742.992626949</v>
      </c>
      <c r="K21" s="42" t="n">
        <f aca="false">(K19*'2-Financial Inputs'!$C$49+K20*'2-Financial Inputs'!$C$52)*(1+'2-Financial Inputs'!$C$11)^8</f>
        <v>658657.852479488</v>
      </c>
      <c r="L21" s="42" t="n">
        <f aca="false">(L19*'2-Financial Inputs'!$C$49+L20*'2-Financial Inputs'!$C$52)*(1+'2-Financial Inputs'!$C$11)^9</f>
        <v>671831.009529078</v>
      </c>
      <c r="M21" s="42" t="n">
        <f aca="false">(M19*'2-Financial Inputs'!$C$49+M20*'2-Financial Inputs'!$C$52)*(1+'2-Financial Inputs'!$C$11)^10</f>
        <v>685267.62971966</v>
      </c>
      <c r="N21" s="42" t="n">
        <f aca="false">(N19*'2-Financial Inputs'!$C$49+N20*'2-Financial Inputs'!$C$52)*(1+'2-Financial Inputs'!$C$11)^11</f>
        <v>698972.982314053</v>
      </c>
      <c r="O21" s="42" t="n">
        <f aca="false">(O19*'2-Financial Inputs'!$C$49+O20*'2-Financial Inputs'!$C$52)*(1+'2-Financial Inputs'!$C$11)^12</f>
        <v>712952.441960334</v>
      </c>
      <c r="P21" s="42" t="n">
        <f aca="false">(P19*'2-Financial Inputs'!$C$49+P20*'2-Financial Inputs'!$C$52)*(1+'2-Financial Inputs'!$C$11)^13</f>
        <v>727211.49079954</v>
      </c>
      <c r="Q21" s="42" t="n">
        <f aca="false">(Q19*'2-Financial Inputs'!$C$49+Q20*'2-Financial Inputs'!$C$52)*(1+'2-Financial Inputs'!$C$11)^14</f>
        <v>741755.720615531</v>
      </c>
    </row>
    <row r="23" customFormat="false" ht="15" hidden="false" customHeight="true" outlineLevel="0" collapsed="false">
      <c r="A23" s="5"/>
      <c r="B23" s="5" t="s">
        <v>762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customFormat="false" ht="15" hidden="false" customHeight="true" outlineLevel="0" collapsed="false">
      <c r="B24" s="24" t="s">
        <v>763</v>
      </c>
      <c r="C24" s="42" t="n">
        <f aca="false">'4-Production Calcs'!C97*C4*'2-Financial Inputs'!$C$53*(1+'2-Financial Inputs'!$C$11)^0</f>
        <v>36605.646</v>
      </c>
      <c r="D24" s="42" t="n">
        <f aca="false">'4-Production Calcs'!C97*D4*'2-Financial Inputs'!$C$53*(1+'2-Financial Inputs'!$C$11)^1</f>
        <v>45338.70726</v>
      </c>
      <c r="E24" s="42" t="n">
        <f aca="false">'4-Production Calcs'!C97*E4*'2-Financial Inputs'!$C$53*(1+'2-Financial Inputs'!$C$11)^2</f>
        <v>54406.448712</v>
      </c>
      <c r="F24" s="42" t="n">
        <f aca="false">'4-Production Calcs'!C97*F4*'2-Financial Inputs'!$C$53*(1+'2-Financial Inputs'!$C$11)^3</f>
        <v>55494.57768624</v>
      </c>
      <c r="G24" s="42" t="n">
        <f aca="false">'4-Production Calcs'!C97*G4*'2-Financial Inputs'!$C$53*(1+'2-Financial Inputs'!$C$11)^4</f>
        <v>56604.4692399648</v>
      </c>
      <c r="H24" s="42" t="n">
        <f aca="false">'4-Production Calcs'!C97*H4*'2-Financial Inputs'!$C$53*(1+'2-Financial Inputs'!$C$11)^5</f>
        <v>57736.5586247641</v>
      </c>
      <c r="I24" s="42" t="n">
        <f aca="false">'4-Production Calcs'!C97*I4*'2-Financial Inputs'!$C$53*(1+'2-Financial Inputs'!$C$11)^6</f>
        <v>58891.2897972594</v>
      </c>
      <c r="J24" s="42" t="n">
        <f aca="false">'4-Production Calcs'!C97*J4*'2-Financial Inputs'!$C$53*(1+'2-Financial Inputs'!$C$11)^7</f>
        <v>60069.1155932046</v>
      </c>
      <c r="K24" s="42" t="n">
        <f aca="false">'4-Production Calcs'!C97*K4*'2-Financial Inputs'!$C$53*(1+'2-Financial Inputs'!$C$11)^8</f>
        <v>61270.4979050687</v>
      </c>
      <c r="L24" s="42" t="n">
        <f aca="false">'4-Production Calcs'!C97*L4*'2-Financial Inputs'!$C$53*(1+'2-Financial Inputs'!$C$11)^9</f>
        <v>62495.90786317</v>
      </c>
      <c r="M24" s="42" t="n">
        <f aca="false">'4-Production Calcs'!C97*M4*'2-Financial Inputs'!$C$53*(1+'2-Financial Inputs'!$C$11)^10</f>
        <v>63745.8260204334</v>
      </c>
      <c r="N24" s="42" t="n">
        <f aca="false">'4-Production Calcs'!C97*N4*'2-Financial Inputs'!$C$53*(1+'2-Financial Inputs'!$C$11)^11</f>
        <v>65020.7425408421</v>
      </c>
      <c r="O24" s="42" t="n">
        <f aca="false">'4-Production Calcs'!C97*O4*'2-Financial Inputs'!$C$53*(1+'2-Financial Inputs'!$C$11)^12</f>
        <v>66321.157391659</v>
      </c>
      <c r="P24" s="42" t="n">
        <f aca="false">'4-Production Calcs'!C97*P4*'2-Financial Inputs'!$C$53*(1+'2-Financial Inputs'!$C$11)^13</f>
        <v>67647.5805394921</v>
      </c>
      <c r="Q24" s="42" t="n">
        <f aca="false">'4-Production Calcs'!C97*Q4*'2-Financial Inputs'!$C$53*(1+'2-Financial Inputs'!$C$11)^14</f>
        <v>69000.532150282</v>
      </c>
    </row>
    <row r="25" customFormat="false" ht="15" hidden="false" customHeight="true" outlineLevel="0" collapsed="false">
      <c r="B25" s="39" t="s">
        <v>764</v>
      </c>
      <c r="C25" s="25" t="n">
        <f aca="false">SUM(C24)</f>
        <v>36605.646</v>
      </c>
      <c r="D25" s="25" t="n">
        <f aca="false">SUM(D24)</f>
        <v>45338.70726</v>
      </c>
      <c r="E25" s="25" t="n">
        <f aca="false">SUM(E24)</f>
        <v>54406.448712</v>
      </c>
      <c r="F25" s="25" t="n">
        <f aca="false">SUM(F24)</f>
        <v>55494.57768624</v>
      </c>
      <c r="G25" s="25" t="n">
        <f aca="false">SUM(G24)</f>
        <v>56604.4692399648</v>
      </c>
      <c r="H25" s="25" t="n">
        <f aca="false">SUM(H24)</f>
        <v>57736.5586247641</v>
      </c>
      <c r="I25" s="25" t="n">
        <f aca="false">SUM(I24)</f>
        <v>58891.2897972594</v>
      </c>
      <c r="J25" s="25" t="n">
        <f aca="false">SUM(J24)</f>
        <v>60069.1155932046</v>
      </c>
      <c r="K25" s="25" t="n">
        <f aca="false">SUM(K24)</f>
        <v>61270.4979050687</v>
      </c>
      <c r="L25" s="25" t="n">
        <f aca="false">SUM(L24)</f>
        <v>62495.90786317</v>
      </c>
      <c r="M25" s="25" t="n">
        <f aca="false">SUM(M24)</f>
        <v>63745.8260204334</v>
      </c>
      <c r="N25" s="25" t="n">
        <f aca="false">SUM(N24)</f>
        <v>65020.7425408421</v>
      </c>
      <c r="O25" s="25" t="n">
        <f aca="false">SUM(O24)</f>
        <v>66321.157391659</v>
      </c>
      <c r="P25" s="25" t="n">
        <f aca="false">SUM(P24)</f>
        <v>67647.5805394921</v>
      </c>
      <c r="Q25" s="25" t="n">
        <f aca="false">SUM(Q24)</f>
        <v>69000.532150282</v>
      </c>
    </row>
    <row r="27" customFormat="false" ht="15" hidden="false" customHeight="true" outlineLevel="0" collapsed="false">
      <c r="A27" s="5"/>
      <c r="B27" s="5" t="s">
        <v>765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customFormat="false" ht="15" hidden="false" customHeight="true" outlineLevel="0" collapsed="false">
      <c r="B28" s="39" t="s">
        <v>766</v>
      </c>
      <c r="C28" s="42" t="n">
        <f aca="false">'4-Production Calcs'!C103*C4*'2-Financial Inputs'!$C$61*(1+'2-Financial Inputs'!$C$11)^0</f>
        <v>1681680</v>
      </c>
      <c r="D28" s="42" t="n">
        <f aca="false">'4-Production Calcs'!C103*D4*'2-Financial Inputs'!$C$61*(1+'2-Financial Inputs'!$C$11)^1</f>
        <v>2082880.8</v>
      </c>
      <c r="E28" s="42" t="n">
        <f aca="false">'4-Production Calcs'!C103*E4*'2-Financial Inputs'!$C$61*(1+'2-Financial Inputs'!$C$11)^2</f>
        <v>2499456.96</v>
      </c>
      <c r="F28" s="42" t="n">
        <f aca="false">'4-Production Calcs'!C103*F4*'2-Financial Inputs'!$C$61*(1+'2-Financial Inputs'!$C$11)^3</f>
        <v>2549446.0992</v>
      </c>
      <c r="G28" s="42" t="n">
        <f aca="false">'4-Production Calcs'!C103*G4*'2-Financial Inputs'!$C$61*(1+'2-Financial Inputs'!$C$11)^4</f>
        <v>2600435.021184</v>
      </c>
      <c r="H28" s="42" t="n">
        <f aca="false">'4-Production Calcs'!C103*H4*'2-Financial Inputs'!$C$61*(1+'2-Financial Inputs'!$C$11)^5</f>
        <v>2652443.72160768</v>
      </c>
      <c r="I28" s="42" t="n">
        <f aca="false">'4-Production Calcs'!C103*I4*'2-Financial Inputs'!$C$61*(1+'2-Financial Inputs'!$C$11)^6</f>
        <v>2705492.59603983</v>
      </c>
      <c r="J28" s="42" t="n">
        <f aca="false">'4-Production Calcs'!C103*J4*'2-Financial Inputs'!$C$61*(1+'2-Financial Inputs'!$C$11)^7</f>
        <v>2759602.44796063</v>
      </c>
      <c r="K28" s="42" t="n">
        <f aca="false">'4-Production Calcs'!C103*K4*'2-Financial Inputs'!$C$61*(1+'2-Financial Inputs'!$C$11)^8</f>
        <v>2814794.49691984</v>
      </c>
      <c r="L28" s="42" t="n">
        <f aca="false">'4-Production Calcs'!C103*L4*'2-Financial Inputs'!$C$61*(1+'2-Financial Inputs'!$C$11)^9</f>
        <v>2871090.38685824</v>
      </c>
      <c r="M28" s="42" t="n">
        <f aca="false">'4-Production Calcs'!C103*M4*'2-Financial Inputs'!$C$61*(1+'2-Financial Inputs'!$C$11)^10</f>
        <v>2928512.19459541</v>
      </c>
      <c r="N28" s="42" t="n">
        <f aca="false">'4-Production Calcs'!C103*N4*'2-Financial Inputs'!$C$61*(1+'2-Financial Inputs'!$C$11)^11</f>
        <v>2987082.43848731</v>
      </c>
      <c r="O28" s="42" t="n">
        <f aca="false">'4-Production Calcs'!C103*O4*'2-Financial Inputs'!$C$61*(1+'2-Financial Inputs'!$C$11)^12</f>
        <v>3046824.08725706</v>
      </c>
      <c r="P28" s="42" t="n">
        <f aca="false">'4-Production Calcs'!C103*P4*'2-Financial Inputs'!$C$61*(1+'2-Financial Inputs'!$C$11)^13</f>
        <v>3107760.5690022</v>
      </c>
      <c r="Q28" s="42" t="n">
        <f aca="false">'4-Production Calcs'!C103*Q4*'2-Financial Inputs'!$C$61*(1+'2-Financial Inputs'!$C$11)^14</f>
        <v>3169915.78038224</v>
      </c>
    </row>
    <row r="30" customFormat="false" ht="15" hidden="false" customHeight="true" outlineLevel="0" collapsed="false">
      <c r="A30" s="5"/>
      <c r="B30" s="5" t="s">
        <v>767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customFormat="false" ht="15" hidden="false" customHeight="true" outlineLevel="0" collapsed="false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</row>
    <row r="33" customFormat="false" ht="15" hidden="false" customHeight="true" outlineLevel="0" collapsed="false">
      <c r="B33" s="45" t="s">
        <v>768</v>
      </c>
      <c r="C33" s="46" t="n">
        <f aca="false">C8+C12+C16+C21+C25+C28+C31</f>
        <v>10850753.104884</v>
      </c>
      <c r="D33" s="46" t="n">
        <f aca="false">D8+D12+D16+D21+D25+D28+D31</f>
        <v>13439432.774192</v>
      </c>
      <c r="E33" s="46" t="n">
        <f aca="false">E8+E12+E16+E21+E25+E28+E31</f>
        <v>16127319.3290304</v>
      </c>
      <c r="F33" s="46" t="n">
        <f aca="false">F8+F12+F16+F21+F25+F28+F31</f>
        <v>16449865.7156111</v>
      </c>
      <c r="G33" s="46" t="n">
        <f aca="false">G8+G12+G16+G21+G25+G28+G31</f>
        <v>16778863.0299233</v>
      </c>
      <c r="H33" s="46" t="n">
        <f aca="false">H8+H12+H16+H21+H25+H28+H31</f>
        <v>17114440.2905217</v>
      </c>
      <c r="I33" s="46" t="n">
        <f aca="false">I8+I12+I16+I21+I25+I28+I31</f>
        <v>17456729.0963322</v>
      </c>
      <c r="J33" s="46" t="n">
        <f aca="false">J8+J12+J16+J21+J25+J28+J31</f>
        <v>17805863.6782588</v>
      </c>
      <c r="K33" s="46" t="n">
        <f aca="false">K8+K12+K16+K21+K25+K28+K31</f>
        <v>18161980.951824</v>
      </c>
      <c r="L33" s="46" t="n">
        <f aca="false">L8+L12+L16+L21+L25+L28+L31</f>
        <v>18525220.5708605</v>
      </c>
      <c r="M33" s="46" t="n">
        <f aca="false">M8+M12+M16+M21+M25+M28+M31</f>
        <v>18895724.9822777</v>
      </c>
      <c r="N33" s="46" t="n">
        <f aca="false">N8+N12+N16+N21+N25+N28+N31</f>
        <v>19273639.4819232</v>
      </c>
      <c r="O33" s="46" t="n">
        <f aca="false">O8+O12+O16+O21+O25+O28+O31</f>
        <v>19659112.2715617</v>
      </c>
      <c r="P33" s="46" t="n">
        <f aca="false">P8+P12+P16+P21+P25+P28+P31</f>
        <v>20052294.5169929</v>
      </c>
      <c r="Q33" s="46" t="n">
        <f aca="false">Q8+Q12+Q16+Q21+Q25+Q28+Q31</f>
        <v>20453340.4073328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17" min="3" style="1" width="14"/>
  </cols>
  <sheetData>
    <row r="1" customFormat="false" ht="15.75" hidden="false" customHeight="true" outlineLevel="0" collapsed="false">
      <c r="A1" s="2" t="s">
        <v>769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B3" s="39"/>
      <c r="C3" s="40" t="s">
        <v>733</v>
      </c>
      <c r="D3" s="40" t="s">
        <v>734</v>
      </c>
      <c r="E3" s="40" t="s">
        <v>735</v>
      </c>
      <c r="F3" s="40" t="s">
        <v>736</v>
      </c>
      <c r="G3" s="40" t="s">
        <v>737</v>
      </c>
      <c r="H3" s="40" t="s">
        <v>738</v>
      </c>
      <c r="I3" s="40" t="s">
        <v>739</v>
      </c>
      <c r="J3" s="40" t="s">
        <v>740</v>
      </c>
      <c r="K3" s="40" t="s">
        <v>741</v>
      </c>
      <c r="L3" s="40" t="s">
        <v>742</v>
      </c>
      <c r="M3" s="40" t="s">
        <v>743</v>
      </c>
      <c r="N3" s="40" t="s">
        <v>744</v>
      </c>
      <c r="O3" s="40" t="s">
        <v>745</v>
      </c>
      <c r="P3" s="40" t="s">
        <v>746</v>
      </c>
      <c r="Q3" s="40" t="s">
        <v>747</v>
      </c>
    </row>
    <row r="4" customFormat="false" ht="15" hidden="false" customHeight="true" outlineLevel="0" collapsed="false">
      <c r="A4" s="5"/>
      <c r="B4" s="5" t="s">
        <v>770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5" hidden="false" customHeight="true" outlineLevel="0" collapsed="false">
      <c r="B5" s="24" t="s">
        <v>771</v>
      </c>
      <c r="C5" s="42" t="n">
        <f aca="false">('2-Financial Inputs'!$C$66+'2-Financial Inputs'!$C$67+'2-Financial Inputs'!$C$68)*'2-Financial Inputs'!$C$69*Revenue!C4*(1+'2-Financial Inputs'!$C$11)^0</f>
        <v>588000</v>
      </c>
      <c r="D5" s="42" t="n">
        <f aca="false">('2-Financial Inputs'!$C$66+'2-Financial Inputs'!$C$67+'2-Financial Inputs'!$C$68)*'2-Financial Inputs'!$C$69*Revenue!D4*(1+'2-Financial Inputs'!$C$11)^1</f>
        <v>728280</v>
      </c>
      <c r="E5" s="42" t="n">
        <f aca="false">('2-Financial Inputs'!$C$66+'2-Financial Inputs'!$C$67+'2-Financial Inputs'!$C$68)*'2-Financial Inputs'!$C$69*Revenue!E4*(1+'2-Financial Inputs'!$C$11)^2</f>
        <v>873936</v>
      </c>
      <c r="F5" s="42" t="n">
        <f aca="false">('2-Financial Inputs'!$C$66+'2-Financial Inputs'!$C$67+'2-Financial Inputs'!$C$68)*'2-Financial Inputs'!$C$69*Revenue!F4*(1+'2-Financial Inputs'!$C$11)^3</f>
        <v>891414.72</v>
      </c>
      <c r="G5" s="42" t="n">
        <f aca="false">('2-Financial Inputs'!$C$66+'2-Financial Inputs'!$C$67+'2-Financial Inputs'!$C$68)*'2-Financial Inputs'!$C$69*Revenue!G4*(1+'2-Financial Inputs'!$C$11)^4</f>
        <v>909243.0144</v>
      </c>
      <c r="H5" s="42" t="n">
        <f aca="false">('2-Financial Inputs'!$C$66+'2-Financial Inputs'!$C$67+'2-Financial Inputs'!$C$68)*'2-Financial Inputs'!$C$69*Revenue!H4*(1+'2-Financial Inputs'!$C$11)^5</f>
        <v>927427.874688</v>
      </c>
      <c r="I5" s="42" t="n">
        <f aca="false">('2-Financial Inputs'!$C$66+'2-Financial Inputs'!$C$67+'2-Financial Inputs'!$C$68)*'2-Financial Inputs'!$C$69*Revenue!I4*(1+'2-Financial Inputs'!$C$11)^6</f>
        <v>945976.43218176</v>
      </c>
      <c r="J5" s="42" t="n">
        <f aca="false">('2-Financial Inputs'!$C$66+'2-Financial Inputs'!$C$67+'2-Financial Inputs'!$C$68)*'2-Financial Inputs'!$C$69*Revenue!J4*(1+'2-Financial Inputs'!$C$11)^7</f>
        <v>964895.960825395</v>
      </c>
      <c r="K5" s="42" t="n">
        <f aca="false">('2-Financial Inputs'!$C$66+'2-Financial Inputs'!$C$67+'2-Financial Inputs'!$C$68)*'2-Financial Inputs'!$C$69*Revenue!K4*(1+'2-Financial Inputs'!$C$11)^8</f>
        <v>984193.880041903</v>
      </c>
      <c r="L5" s="42" t="n">
        <f aca="false">('2-Financial Inputs'!$C$66+'2-Financial Inputs'!$C$67+'2-Financial Inputs'!$C$68)*'2-Financial Inputs'!$C$69*Revenue!L4*(1+'2-Financial Inputs'!$C$11)^9</f>
        <v>1003877.75764274</v>
      </c>
      <c r="M5" s="42" t="n">
        <f aca="false">('2-Financial Inputs'!$C$66+'2-Financial Inputs'!$C$67+'2-Financial Inputs'!$C$68)*'2-Financial Inputs'!$C$69*Revenue!M4*(1+'2-Financial Inputs'!$C$11)^10</f>
        <v>1023955.3127956</v>
      </c>
      <c r="N5" s="42" t="n">
        <f aca="false">('2-Financial Inputs'!$C$66+'2-Financial Inputs'!$C$67+'2-Financial Inputs'!$C$68)*'2-Financial Inputs'!$C$69*Revenue!N4*(1+'2-Financial Inputs'!$C$11)^11</f>
        <v>1044434.41905151</v>
      </c>
      <c r="O5" s="42" t="n">
        <f aca="false">('2-Financial Inputs'!$C$66+'2-Financial Inputs'!$C$67+'2-Financial Inputs'!$C$68)*'2-Financial Inputs'!$C$69*Revenue!O4*(1+'2-Financial Inputs'!$C$11)^12</f>
        <v>1065323.10743254</v>
      </c>
      <c r="P5" s="42" t="n">
        <f aca="false">('2-Financial Inputs'!$C$66+'2-Financial Inputs'!$C$67+'2-Financial Inputs'!$C$68)*'2-Financial Inputs'!$C$69*Revenue!P4*(1+'2-Financial Inputs'!$C$11)^13</f>
        <v>1086629.56958119</v>
      </c>
      <c r="Q5" s="42" t="n">
        <f aca="false">('2-Financial Inputs'!$C$66+'2-Financial Inputs'!$C$67+'2-Financial Inputs'!$C$68)*'2-Financial Inputs'!$C$69*Revenue!Q4*(1+'2-Financial Inputs'!$C$11)^14</f>
        <v>1108362.16097281</v>
      </c>
    </row>
    <row r="6" customFormat="false" ht="15" hidden="false" customHeight="true" outlineLevel="0" collapsed="false">
      <c r="B6" s="24" t="s">
        <v>772</v>
      </c>
      <c r="C6" s="42" t="n">
        <f aca="false">'2-Financial Inputs'!$C$72*CAPEX!$C$12*Revenue!C4*(1+'2-Financial Inputs'!$C$11)^0</f>
        <v>1621200</v>
      </c>
      <c r="D6" s="42" t="n">
        <f aca="false">'2-Financial Inputs'!$C$72*CAPEX!$C$12*Revenue!D4*(1+'2-Financial Inputs'!$C$11)^1</f>
        <v>2007972</v>
      </c>
      <c r="E6" s="42" t="n">
        <f aca="false">'2-Financial Inputs'!$C$72*CAPEX!$C$12*Revenue!E4*(1+'2-Financial Inputs'!$C$11)^2</f>
        <v>2409566.4</v>
      </c>
      <c r="F6" s="42" t="n">
        <f aca="false">'2-Financial Inputs'!$C$72*CAPEX!$C$12*Revenue!F4*(1+'2-Financial Inputs'!$C$11)^3</f>
        <v>2457757.728</v>
      </c>
      <c r="G6" s="42" t="n">
        <f aca="false">'2-Financial Inputs'!$C$72*CAPEX!$C$12*Revenue!G4*(1+'2-Financial Inputs'!$C$11)^4</f>
        <v>2506912.88256</v>
      </c>
      <c r="H6" s="42" t="n">
        <f aca="false">'2-Financial Inputs'!$C$72*CAPEX!$C$12*Revenue!H4*(1+'2-Financial Inputs'!$C$11)^5</f>
        <v>2557051.1402112</v>
      </c>
      <c r="I6" s="42" t="n">
        <f aca="false">'2-Financial Inputs'!$C$72*CAPEX!$C$12*Revenue!I4*(1+'2-Financial Inputs'!$C$11)^6</f>
        <v>2608192.16301542</v>
      </c>
      <c r="J6" s="42" t="n">
        <f aca="false">'2-Financial Inputs'!$C$72*CAPEX!$C$12*Revenue!J4*(1+'2-Financial Inputs'!$C$11)^7</f>
        <v>2660356.00627573</v>
      </c>
      <c r="K6" s="42" t="n">
        <f aca="false">'2-Financial Inputs'!$C$72*CAPEX!$C$12*Revenue!K4*(1+'2-Financial Inputs'!$C$11)^8</f>
        <v>2713563.12640125</v>
      </c>
      <c r="L6" s="42" t="n">
        <f aca="false">'2-Financial Inputs'!$C$72*CAPEX!$C$12*Revenue!L4*(1+'2-Financial Inputs'!$C$11)^9</f>
        <v>2767834.38892927</v>
      </c>
      <c r="M6" s="42" t="n">
        <f aca="false">'2-Financial Inputs'!$C$72*CAPEX!$C$12*Revenue!M4*(1+'2-Financial Inputs'!$C$11)^10</f>
        <v>2823191.07670786</v>
      </c>
      <c r="N6" s="42" t="n">
        <f aca="false">'2-Financial Inputs'!$C$72*CAPEX!$C$12*Revenue!N4*(1+'2-Financial Inputs'!$C$11)^11</f>
        <v>2879654.89824202</v>
      </c>
      <c r="O6" s="42" t="n">
        <f aca="false">'2-Financial Inputs'!$C$72*CAPEX!$C$12*Revenue!O4*(1+'2-Financial Inputs'!$C$11)^12</f>
        <v>2937247.99620686</v>
      </c>
      <c r="P6" s="42" t="n">
        <f aca="false">'2-Financial Inputs'!$C$72*CAPEX!$C$12*Revenue!P4*(1+'2-Financial Inputs'!$C$11)^13</f>
        <v>2995992.95613099</v>
      </c>
      <c r="Q6" s="42" t="n">
        <f aca="false">'2-Financial Inputs'!$C$72*CAPEX!$C$12*Revenue!Q4*(1+'2-Financial Inputs'!$C$11)^14</f>
        <v>3055912.81525361</v>
      </c>
    </row>
    <row r="7" customFormat="false" ht="15" hidden="false" customHeight="true" outlineLevel="0" collapsed="false">
      <c r="B7" s="24" t="s">
        <v>773</v>
      </c>
      <c r="C7" s="42" t="n">
        <f aca="false">'2-Financial Inputs'!$C$74*'1-Waste Input'!$C$10*'2-Financial Inputs'!$C$58*Revenue!C4*(1+'2-Financial Inputs'!$C$11)^0</f>
        <v>166320</v>
      </c>
      <c r="D7" s="42" t="n">
        <f aca="false">'2-Financial Inputs'!$C$74*'1-Waste Input'!$C$10*'2-Financial Inputs'!$C$58*Revenue!D4*(1+'2-Financial Inputs'!$C$11)^1</f>
        <v>205999.2</v>
      </c>
      <c r="E7" s="42" t="n">
        <f aca="false">'2-Financial Inputs'!$C$74*'1-Waste Input'!$C$10*'2-Financial Inputs'!$C$58*Revenue!E4*(1+'2-Financial Inputs'!$C$11)^2</f>
        <v>247199.04</v>
      </c>
      <c r="F7" s="42" t="n">
        <f aca="false">'2-Financial Inputs'!$C$74*'1-Waste Input'!$C$10*'2-Financial Inputs'!$C$58*Revenue!F4*(1+'2-Financial Inputs'!$C$11)^3</f>
        <v>252143.0208</v>
      </c>
      <c r="G7" s="42" t="n">
        <f aca="false">'2-Financial Inputs'!$C$74*'1-Waste Input'!$C$10*'2-Financial Inputs'!$C$58*Revenue!G4*(1+'2-Financial Inputs'!$C$11)^4</f>
        <v>257185.881216</v>
      </c>
      <c r="H7" s="42" t="n">
        <f aca="false">'2-Financial Inputs'!$C$74*'1-Waste Input'!$C$10*'2-Financial Inputs'!$C$58*Revenue!H4*(1+'2-Financial Inputs'!$C$11)^5</f>
        <v>262329.59884032</v>
      </c>
      <c r="I7" s="42" t="n">
        <f aca="false">'2-Financial Inputs'!$C$74*'1-Waste Input'!$C$10*'2-Financial Inputs'!$C$58*Revenue!I4*(1+'2-Financial Inputs'!$C$11)^6</f>
        <v>267576.190817126</v>
      </c>
      <c r="J7" s="42" t="n">
        <f aca="false">'2-Financial Inputs'!$C$74*'1-Waste Input'!$C$10*'2-Financial Inputs'!$C$58*Revenue!J4*(1+'2-Financial Inputs'!$C$11)^7</f>
        <v>272927.714633469</v>
      </c>
      <c r="K7" s="42" t="n">
        <f aca="false">'2-Financial Inputs'!$C$74*'1-Waste Input'!$C$10*'2-Financial Inputs'!$C$58*Revenue!K4*(1+'2-Financial Inputs'!$C$11)^8</f>
        <v>278386.268926138</v>
      </c>
      <c r="L7" s="42" t="n">
        <f aca="false">'2-Financial Inputs'!$C$74*'1-Waste Input'!$C$10*'2-Financial Inputs'!$C$58*Revenue!L4*(1+'2-Financial Inputs'!$C$11)^9</f>
        <v>283953.994304661</v>
      </c>
      <c r="M7" s="42" t="n">
        <f aca="false">'2-Financial Inputs'!$C$74*'1-Waste Input'!$C$10*'2-Financial Inputs'!$C$58*Revenue!M4*(1+'2-Financial Inputs'!$C$11)^10</f>
        <v>289633.074190754</v>
      </c>
      <c r="N7" s="42" t="n">
        <f aca="false">'2-Financial Inputs'!$C$74*'1-Waste Input'!$C$10*'2-Financial Inputs'!$C$58*Revenue!N4*(1+'2-Financial Inputs'!$C$11)^11</f>
        <v>295425.735674569</v>
      </c>
      <c r="O7" s="42" t="n">
        <f aca="false">'2-Financial Inputs'!$C$74*'1-Waste Input'!$C$10*'2-Financial Inputs'!$C$58*Revenue!O4*(1+'2-Financial Inputs'!$C$11)^12</f>
        <v>301334.250388061</v>
      </c>
      <c r="P7" s="42" t="n">
        <f aca="false">'2-Financial Inputs'!$C$74*'1-Waste Input'!$C$10*'2-Financial Inputs'!$C$58*Revenue!P4*(1+'2-Financial Inputs'!$C$11)^13</f>
        <v>307360.935395822</v>
      </c>
      <c r="Q7" s="42" t="n">
        <f aca="false">'2-Financial Inputs'!$C$74*'1-Waste Input'!$C$10*'2-Financial Inputs'!$C$58*Revenue!Q4*(1+'2-Financial Inputs'!$C$11)^14</f>
        <v>313508.154103739</v>
      </c>
    </row>
    <row r="8" customFormat="false" ht="15" hidden="false" customHeight="true" outlineLevel="0" collapsed="false">
      <c r="B8" s="24" t="s">
        <v>774</v>
      </c>
      <c r="C8" s="42" t="n">
        <f aca="false">'4-Production Calcs'!C89*Revenue!C4*(1+'2-Financial Inputs'!$C$11)^0</f>
        <v>692508.013038947</v>
      </c>
      <c r="D8" s="42" t="n">
        <f aca="false">'4-Production Calcs'!C89*Revenue!D4*(1+'2-Financial Inputs'!$C$11)^1</f>
        <v>857720.639006811</v>
      </c>
      <c r="E8" s="42" t="n">
        <f aca="false">'4-Production Calcs'!C89*Revenue!E4*(1+'2-Financial Inputs'!$C$11)^2</f>
        <v>1029264.76680817</v>
      </c>
      <c r="F8" s="42" t="n">
        <f aca="false">'4-Production Calcs'!C89*Revenue!F4*(1+'2-Financial Inputs'!$C$11)^3</f>
        <v>1049850.06214434</v>
      </c>
      <c r="G8" s="42" t="n">
        <f aca="false">'4-Production Calcs'!C89*Revenue!G4*(1+'2-Financial Inputs'!$C$11)^4</f>
        <v>1070847.06338722</v>
      </c>
      <c r="H8" s="42" t="n">
        <f aca="false">'4-Production Calcs'!C89*Revenue!H4*(1+'2-Financial Inputs'!$C$11)^5</f>
        <v>1092264.00465497</v>
      </c>
      <c r="I8" s="42" t="n">
        <f aca="false">'4-Production Calcs'!C89*Revenue!I4*(1+'2-Financial Inputs'!$C$11)^6</f>
        <v>1114109.28474807</v>
      </c>
      <c r="J8" s="42" t="n">
        <f aca="false">'4-Production Calcs'!C89*Revenue!J4*(1+'2-Financial Inputs'!$C$11)^7</f>
        <v>1136391.47044303</v>
      </c>
      <c r="K8" s="42" t="n">
        <f aca="false">'4-Production Calcs'!C89*Revenue!K4*(1+'2-Financial Inputs'!$C$11)^8</f>
        <v>1159119.29985189</v>
      </c>
      <c r="L8" s="42" t="n">
        <f aca="false">'4-Production Calcs'!C89*Revenue!L4*(1+'2-Financial Inputs'!$C$11)^9</f>
        <v>1182301.68584893</v>
      </c>
      <c r="M8" s="42" t="n">
        <f aca="false">'4-Production Calcs'!C89*Revenue!M4*(1+'2-Financial Inputs'!$C$11)^10</f>
        <v>1205947.71956591</v>
      </c>
      <c r="N8" s="42" t="n">
        <f aca="false">'4-Production Calcs'!C89*Revenue!N4*(1+'2-Financial Inputs'!$C$11)^11</f>
        <v>1230066.67395722</v>
      </c>
      <c r="O8" s="42" t="n">
        <f aca="false">'4-Production Calcs'!C89*Revenue!O4*(1+'2-Financial Inputs'!$C$11)^12</f>
        <v>1254668.00743637</v>
      </c>
      <c r="P8" s="42" t="n">
        <f aca="false">'4-Production Calcs'!C89*Revenue!P4*(1+'2-Financial Inputs'!$C$11)^13</f>
        <v>1279761.3675851</v>
      </c>
      <c r="Q8" s="42" t="n">
        <f aca="false">'4-Production Calcs'!C89*Revenue!Q4*(1+'2-Financial Inputs'!$C$11)^14</f>
        <v>1305356.5949368</v>
      </c>
    </row>
    <row r="9" customFormat="false" ht="15" hidden="false" customHeight="true" outlineLevel="0" collapsed="false">
      <c r="B9" s="24" t="s">
        <v>775</v>
      </c>
      <c r="C9" s="42" t="n">
        <f aca="false">'2-Financial Inputs'!$C$75*CAPEX!$C$43*(1+'2-Financial Inputs'!$C$11)^0</f>
        <v>318902.5</v>
      </c>
      <c r="D9" s="42" t="n">
        <f aca="false">'2-Financial Inputs'!$C$75*CAPEX!$C$43*(1+'2-Financial Inputs'!$C$11)^1</f>
        <v>325280.55</v>
      </c>
      <c r="E9" s="42" t="n">
        <f aca="false">'2-Financial Inputs'!$C$75*CAPEX!$C$43*(1+'2-Financial Inputs'!$C$11)^2</f>
        <v>331786.161</v>
      </c>
      <c r="F9" s="42" t="n">
        <f aca="false">'2-Financial Inputs'!$C$75*CAPEX!$C$43*(1+'2-Financial Inputs'!$C$11)^3</f>
        <v>338421.88422</v>
      </c>
      <c r="G9" s="42" t="n">
        <f aca="false">'2-Financial Inputs'!$C$75*CAPEX!$C$43*(1+'2-Financial Inputs'!$C$11)^4</f>
        <v>345190.3219044</v>
      </c>
      <c r="H9" s="42" t="n">
        <f aca="false">'2-Financial Inputs'!$C$75*CAPEX!$C$43*(1+'2-Financial Inputs'!$C$11)^5</f>
        <v>352094.128342488</v>
      </c>
      <c r="I9" s="42" t="n">
        <f aca="false">'2-Financial Inputs'!$C$75*CAPEX!$C$43*(1+'2-Financial Inputs'!$C$11)^6</f>
        <v>359136.010909338</v>
      </c>
      <c r="J9" s="42" t="n">
        <f aca="false">'2-Financial Inputs'!$C$75*CAPEX!$C$43*(1+'2-Financial Inputs'!$C$11)^7</f>
        <v>366318.731127525</v>
      </c>
      <c r="K9" s="42" t="n">
        <f aca="false">'2-Financial Inputs'!$C$75*CAPEX!$C$43*(1+'2-Financial Inputs'!$C$11)^8</f>
        <v>373645.105750075</v>
      </c>
      <c r="L9" s="42" t="n">
        <f aca="false">'2-Financial Inputs'!$C$75*CAPEX!$C$43*(1+'2-Financial Inputs'!$C$11)^9</f>
        <v>381118.007865077</v>
      </c>
      <c r="M9" s="42" t="n">
        <f aca="false">'2-Financial Inputs'!$C$75*CAPEX!$C$43*(1+'2-Financial Inputs'!$C$11)^10</f>
        <v>388740.368022378</v>
      </c>
      <c r="N9" s="42" t="n">
        <f aca="false">'2-Financial Inputs'!$C$75*CAPEX!$C$43*(1+'2-Financial Inputs'!$C$11)^11</f>
        <v>396515.175382826</v>
      </c>
      <c r="O9" s="42" t="n">
        <f aca="false">'2-Financial Inputs'!$C$75*CAPEX!$C$43*(1+'2-Financial Inputs'!$C$11)^12</f>
        <v>404445.478890482</v>
      </c>
      <c r="P9" s="42" t="n">
        <f aca="false">'2-Financial Inputs'!$C$75*CAPEX!$C$43*(1+'2-Financial Inputs'!$C$11)^13</f>
        <v>412534.388468292</v>
      </c>
      <c r="Q9" s="42" t="n">
        <f aca="false">'2-Financial Inputs'!$C$75*CAPEX!$C$43*(1+'2-Financial Inputs'!$C$11)^14</f>
        <v>420785.076237658</v>
      </c>
    </row>
    <row r="10" customFormat="false" ht="15" hidden="false" customHeight="true" outlineLevel="0" collapsed="false">
      <c r="B10" s="24" t="s">
        <v>776</v>
      </c>
      <c r="C10" s="42" t="n">
        <f aca="false">'2-Financial Inputs'!$C$73*CAPEX!$C$43*Revenue!C4*(1+'2-Financial Inputs'!$C$11)^0</f>
        <v>892927</v>
      </c>
      <c r="D10" s="42" t="n">
        <f aca="false">'2-Financial Inputs'!$C$73*CAPEX!$C$43*Revenue!D4*(1+'2-Financial Inputs'!$C$11)^1</f>
        <v>1105953.87</v>
      </c>
      <c r="E10" s="42" t="n">
        <f aca="false">'2-Financial Inputs'!$C$73*CAPEX!$C$43*Revenue!E4*(1+'2-Financial Inputs'!$C$11)^2</f>
        <v>1327144.644</v>
      </c>
      <c r="F10" s="42" t="n">
        <f aca="false">'2-Financial Inputs'!$C$73*CAPEX!$C$43*Revenue!F4*(1+'2-Financial Inputs'!$C$11)^3</f>
        <v>1353687.53688</v>
      </c>
      <c r="G10" s="42" t="n">
        <f aca="false">'2-Financial Inputs'!$C$73*CAPEX!$C$43*Revenue!G4*(1+'2-Financial Inputs'!$C$11)^4</f>
        <v>1380761.2876176</v>
      </c>
      <c r="H10" s="42" t="n">
        <f aca="false">'2-Financial Inputs'!$C$73*CAPEX!$C$43*Revenue!H4*(1+'2-Financial Inputs'!$C$11)^5</f>
        <v>1408376.51336995</v>
      </c>
      <c r="I10" s="42" t="n">
        <f aca="false">'2-Financial Inputs'!$C$73*CAPEX!$C$43*Revenue!I4*(1+'2-Financial Inputs'!$C$11)^6</f>
        <v>1436544.04363735</v>
      </c>
      <c r="J10" s="42" t="n">
        <f aca="false">'2-Financial Inputs'!$C$73*CAPEX!$C$43*Revenue!J4*(1+'2-Financial Inputs'!$C$11)^7</f>
        <v>1465274.9245101</v>
      </c>
      <c r="K10" s="42" t="n">
        <f aca="false">'2-Financial Inputs'!$C$73*CAPEX!$C$43*Revenue!K4*(1+'2-Financial Inputs'!$C$11)^8</f>
        <v>1494580.4230003</v>
      </c>
      <c r="L10" s="42" t="n">
        <f aca="false">'2-Financial Inputs'!$C$73*CAPEX!$C$43*Revenue!L4*(1+'2-Financial Inputs'!$C$11)^9</f>
        <v>1524472.03146031</v>
      </c>
      <c r="M10" s="42" t="n">
        <f aca="false">'2-Financial Inputs'!$C$73*CAPEX!$C$43*Revenue!M4*(1+'2-Financial Inputs'!$C$11)^10</f>
        <v>1554961.47208951</v>
      </c>
      <c r="N10" s="42" t="n">
        <f aca="false">'2-Financial Inputs'!$C$73*CAPEX!$C$43*Revenue!N4*(1+'2-Financial Inputs'!$C$11)^11</f>
        <v>1586060.7015313</v>
      </c>
      <c r="O10" s="42" t="n">
        <f aca="false">'2-Financial Inputs'!$C$73*CAPEX!$C$43*Revenue!O4*(1+'2-Financial Inputs'!$C$11)^12</f>
        <v>1617781.91556193</v>
      </c>
      <c r="P10" s="42" t="n">
        <f aca="false">'2-Financial Inputs'!$C$73*CAPEX!$C$43*Revenue!P4*(1+'2-Financial Inputs'!$C$11)^13</f>
        <v>1650137.55387317</v>
      </c>
      <c r="Q10" s="42" t="n">
        <f aca="false">'2-Financial Inputs'!$C$73*CAPEX!$C$43*Revenue!Q4*(1+'2-Financial Inputs'!$C$11)^14</f>
        <v>1683140.30495063</v>
      </c>
    </row>
    <row r="11" customFormat="false" ht="15" hidden="false" customHeight="true" outlineLevel="0" collapsed="false">
      <c r="B11" s="39" t="s">
        <v>777</v>
      </c>
      <c r="C11" s="25" t="n">
        <f aca="false">SUM(C5:C10)</f>
        <v>4279857.51303895</v>
      </c>
      <c r="D11" s="25" t="n">
        <f aca="false">SUM(D5:D10)</f>
        <v>5231206.25900681</v>
      </c>
      <c r="E11" s="25" t="n">
        <f aca="false">SUM(E5:E10)</f>
        <v>6218897.01180817</v>
      </c>
      <c r="F11" s="25" t="n">
        <f aca="false">SUM(F5:F10)</f>
        <v>6343274.95204434</v>
      </c>
      <c r="G11" s="25" t="n">
        <f aca="false">SUM(G5:G10)</f>
        <v>6470140.45108522</v>
      </c>
      <c r="H11" s="25" t="n">
        <f aca="false">SUM(H5:H10)</f>
        <v>6599543.26010693</v>
      </c>
      <c r="I11" s="25" t="n">
        <f aca="false">SUM(I5:I10)</f>
        <v>6731534.12530907</v>
      </c>
      <c r="J11" s="25" t="n">
        <f aca="false">SUM(J5:J10)</f>
        <v>6866164.80781525</v>
      </c>
      <c r="K11" s="25" t="n">
        <f aca="false">SUM(K5:K10)</f>
        <v>7003488.10397155</v>
      </c>
      <c r="L11" s="25" t="n">
        <f aca="false">SUM(L5:L10)</f>
        <v>7143557.86605099</v>
      </c>
      <c r="M11" s="25" t="n">
        <f aca="false">SUM(M5:M10)</f>
        <v>7286429.023372</v>
      </c>
      <c r="N11" s="25" t="n">
        <f aca="false">SUM(N5:N10)</f>
        <v>7432157.60383944</v>
      </c>
      <c r="O11" s="25" t="n">
        <f aca="false">SUM(O5:O10)</f>
        <v>7580800.75591623</v>
      </c>
      <c r="P11" s="25" t="n">
        <f aca="false">SUM(P5:P10)</f>
        <v>7732416.77103456</v>
      </c>
      <c r="Q11" s="25" t="n">
        <f aca="false">SUM(Q5:Q10)</f>
        <v>7887065.10645525</v>
      </c>
    </row>
    <row r="13" customFormat="false" ht="15" hidden="false" customHeight="true" outlineLevel="0" collapsed="false">
      <c r="A13" s="5"/>
      <c r="B13" s="5" t="s">
        <v>778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customFormat="false" ht="15" hidden="false" customHeight="true" outlineLevel="0" collapsed="false">
      <c r="B14" s="24" t="s">
        <v>779</v>
      </c>
      <c r="C14" s="42" t="n">
        <f aca="false">IF('3-Operations'!$C$6=1,'2-Financial Inputs'!$C$70*'2-Financial Inputs'!$C$69*Revenue!C4*(1+'2-Financial Inputs'!$C$11)^0,0)</f>
        <v>156800</v>
      </c>
      <c r="D14" s="42" t="n">
        <f aca="false">IF('3-Operations'!$C$6=1,'2-Financial Inputs'!$C$70*'2-Financial Inputs'!$C$69*Revenue!D4*(1+'2-Financial Inputs'!$C$11)^1,0)</f>
        <v>194208</v>
      </c>
      <c r="E14" s="42" t="n">
        <f aca="false">IF('3-Operations'!$C$6=1,'2-Financial Inputs'!$C$70*'2-Financial Inputs'!$C$69*Revenue!E4*(1+'2-Financial Inputs'!$C$11)^2,0)</f>
        <v>233049.6</v>
      </c>
      <c r="F14" s="42" t="n">
        <f aca="false">IF('3-Operations'!$C$6=1,'2-Financial Inputs'!$C$70*'2-Financial Inputs'!$C$69*Revenue!F4*(1+'2-Financial Inputs'!$C$11)^3,0)</f>
        <v>237710.592</v>
      </c>
      <c r="G14" s="42" t="n">
        <f aca="false">IF('3-Operations'!$C$6=1,'2-Financial Inputs'!$C$70*'2-Financial Inputs'!$C$69*Revenue!G4*(1+'2-Financial Inputs'!$C$11)^4,0)</f>
        <v>242464.80384</v>
      </c>
      <c r="H14" s="42" t="n">
        <f aca="false">IF('3-Operations'!$C$6=1,'2-Financial Inputs'!$C$70*'2-Financial Inputs'!$C$69*Revenue!H4*(1+'2-Financial Inputs'!$C$11)^5,0)</f>
        <v>247314.0999168</v>
      </c>
      <c r="I14" s="42" t="n">
        <f aca="false">IF('3-Operations'!$C$6=1,'2-Financial Inputs'!$C$70*'2-Financial Inputs'!$C$69*Revenue!I4*(1+'2-Financial Inputs'!$C$11)^6,0)</f>
        <v>252260.381915136</v>
      </c>
      <c r="J14" s="42" t="n">
        <f aca="false">IF('3-Operations'!$C$6=1,'2-Financial Inputs'!$C$70*'2-Financial Inputs'!$C$69*Revenue!J4*(1+'2-Financial Inputs'!$C$11)^7,0)</f>
        <v>257305.589553439</v>
      </c>
      <c r="K14" s="42" t="n">
        <f aca="false">IF('3-Operations'!$C$6=1,'2-Financial Inputs'!$C$70*'2-Financial Inputs'!$C$69*Revenue!K4*(1+'2-Financial Inputs'!$C$11)^8,0)</f>
        <v>262451.701344508</v>
      </c>
      <c r="L14" s="42" t="n">
        <f aca="false">IF('3-Operations'!$C$6=1,'2-Financial Inputs'!$C$70*'2-Financial Inputs'!$C$69*Revenue!L4*(1+'2-Financial Inputs'!$C$11)^9,0)</f>
        <v>267700.735371398</v>
      </c>
      <c r="M14" s="42" t="n">
        <f aca="false">IF('3-Operations'!$C$6=1,'2-Financial Inputs'!$C$70*'2-Financial Inputs'!$C$69*Revenue!M4*(1+'2-Financial Inputs'!$C$11)^10,0)</f>
        <v>273054.750078826</v>
      </c>
      <c r="N14" s="42" t="n">
        <f aca="false">IF('3-Operations'!$C$6=1,'2-Financial Inputs'!$C$70*'2-Financial Inputs'!$C$69*Revenue!N4*(1+'2-Financial Inputs'!$C$11)^11,0)</f>
        <v>278515.845080402</v>
      </c>
      <c r="O14" s="42" t="n">
        <f aca="false">IF('3-Operations'!$C$6=1,'2-Financial Inputs'!$C$70*'2-Financial Inputs'!$C$69*Revenue!O4*(1+'2-Financial Inputs'!$C$11)^12,0)</f>
        <v>284086.16198201</v>
      </c>
      <c r="P14" s="42" t="n">
        <f aca="false">IF('3-Operations'!$C$6=1,'2-Financial Inputs'!$C$70*'2-Financial Inputs'!$C$69*Revenue!P4*(1+'2-Financial Inputs'!$C$11)^13,0)</f>
        <v>289767.88522165</v>
      </c>
      <c r="Q14" s="42" t="n">
        <f aca="false">IF('3-Operations'!$C$6=1,'2-Financial Inputs'!$C$70*'2-Financial Inputs'!$C$69*Revenue!Q4*(1+'2-Financial Inputs'!$C$11)^14,0)</f>
        <v>295563.242926083</v>
      </c>
    </row>
    <row r="15" customFormat="false" ht="15" hidden="false" customHeight="true" outlineLevel="0" collapsed="false">
      <c r="B15" s="24" t="s">
        <v>780</v>
      </c>
      <c r="C15" s="42" t="n">
        <f aca="false">IF('3-Operations'!$C$6=1,'2-Financial Inputs'!$C$72*CAPEX!$C$21*Revenue!C4*(1+'2-Financial Inputs'!$C$11)^0,0)</f>
        <v>30240</v>
      </c>
      <c r="D15" s="42" t="n">
        <f aca="false">IF('3-Operations'!$C$6=1,'2-Financial Inputs'!$C$72*CAPEX!$C$21*Revenue!D4*(1+'2-Financial Inputs'!$C$11)^1,0)</f>
        <v>37454.4</v>
      </c>
      <c r="E15" s="42" t="n">
        <f aca="false">IF('3-Operations'!$C$6=1,'2-Financial Inputs'!$C$72*CAPEX!$C$21*Revenue!E4*(1+'2-Financial Inputs'!$C$11)^2,0)</f>
        <v>44945.28</v>
      </c>
      <c r="F15" s="42" t="n">
        <f aca="false">IF('3-Operations'!$C$6=1,'2-Financial Inputs'!$C$72*CAPEX!$C$21*Revenue!F4*(1+'2-Financial Inputs'!$C$11)^3,0)</f>
        <v>45844.1856</v>
      </c>
      <c r="G15" s="42" t="n">
        <f aca="false">IF('3-Operations'!$C$6=1,'2-Financial Inputs'!$C$72*CAPEX!$C$21*Revenue!G4*(1+'2-Financial Inputs'!$C$11)^4,0)</f>
        <v>46761.069312</v>
      </c>
      <c r="H15" s="42" t="n">
        <f aca="false">IF('3-Operations'!$C$6=1,'2-Financial Inputs'!$C$72*CAPEX!$C$21*Revenue!H4*(1+'2-Financial Inputs'!$C$11)^5,0)</f>
        <v>47696.29069824</v>
      </c>
      <c r="I15" s="42" t="n">
        <f aca="false">IF('3-Operations'!$C$6=1,'2-Financial Inputs'!$C$72*CAPEX!$C$21*Revenue!I4*(1+'2-Financial Inputs'!$C$11)^6,0)</f>
        <v>48650.2165122048</v>
      </c>
      <c r="J15" s="42" t="n">
        <f aca="false">IF('3-Operations'!$C$6=1,'2-Financial Inputs'!$C$72*CAPEX!$C$21*Revenue!J4*(1+'2-Financial Inputs'!$C$11)^7,0)</f>
        <v>49623.2208424489</v>
      </c>
      <c r="K15" s="42" t="n">
        <f aca="false">IF('3-Operations'!$C$6=1,'2-Financial Inputs'!$C$72*CAPEX!$C$21*Revenue!K4*(1+'2-Financial Inputs'!$C$11)^8,0)</f>
        <v>50615.6852592979</v>
      </c>
      <c r="L15" s="42" t="n">
        <f aca="false">IF('3-Operations'!$C$6=1,'2-Financial Inputs'!$C$72*CAPEX!$C$21*Revenue!L4*(1+'2-Financial Inputs'!$C$11)^9,0)</f>
        <v>51627.9989644838</v>
      </c>
      <c r="M15" s="42" t="n">
        <f aca="false">IF('3-Operations'!$C$6=1,'2-Financial Inputs'!$C$72*CAPEX!$C$21*Revenue!M4*(1+'2-Financial Inputs'!$C$11)^10,0)</f>
        <v>52660.5589437735</v>
      </c>
      <c r="N15" s="42" t="n">
        <f aca="false">IF('3-Operations'!$C$6=1,'2-Financial Inputs'!$C$72*CAPEX!$C$21*Revenue!N4*(1+'2-Financial Inputs'!$C$11)^11,0)</f>
        <v>53713.770122649</v>
      </c>
      <c r="O15" s="42" t="n">
        <f aca="false">IF('3-Operations'!$C$6=1,'2-Financial Inputs'!$C$72*CAPEX!$C$21*Revenue!O4*(1+'2-Financial Inputs'!$C$11)^12,0)</f>
        <v>54788.045525102</v>
      </c>
      <c r="P15" s="42" t="n">
        <f aca="false">IF('3-Operations'!$C$6=1,'2-Financial Inputs'!$C$72*CAPEX!$C$21*Revenue!P4*(1+'2-Financial Inputs'!$C$11)^13,0)</f>
        <v>55883.806435604</v>
      </c>
      <c r="Q15" s="42" t="n">
        <f aca="false">IF('3-Operations'!$C$6=1,'2-Financial Inputs'!$C$72*CAPEX!$C$21*Revenue!Q4*(1+'2-Financial Inputs'!$C$11)^14,0)</f>
        <v>57001.4825643161</v>
      </c>
    </row>
    <row r="16" customFormat="false" ht="15" hidden="false" customHeight="true" outlineLevel="0" collapsed="false">
      <c r="B16" s="39" t="s">
        <v>781</v>
      </c>
      <c r="C16" s="25" t="n">
        <f aca="false">SUM(C14:C15)</f>
        <v>187040</v>
      </c>
      <c r="D16" s="25" t="n">
        <f aca="false">SUM(D14:D15)</f>
        <v>231662.4</v>
      </c>
      <c r="E16" s="25" t="n">
        <f aca="false">SUM(E14:E15)</f>
        <v>277994.88</v>
      </c>
      <c r="F16" s="25" t="n">
        <f aca="false">SUM(F14:F15)</f>
        <v>283554.7776</v>
      </c>
      <c r="G16" s="25" t="n">
        <f aca="false">SUM(G14:G15)</f>
        <v>289225.873152</v>
      </c>
      <c r="H16" s="25" t="n">
        <f aca="false">SUM(H14:H15)</f>
        <v>295010.39061504</v>
      </c>
      <c r="I16" s="25" t="n">
        <f aca="false">SUM(I14:I15)</f>
        <v>300910.598427341</v>
      </c>
      <c r="J16" s="25" t="n">
        <f aca="false">SUM(J14:J15)</f>
        <v>306928.810395888</v>
      </c>
      <c r="K16" s="25" t="n">
        <f aca="false">SUM(K14:K15)</f>
        <v>313067.386603805</v>
      </c>
      <c r="L16" s="25" t="n">
        <f aca="false">SUM(L14:L15)</f>
        <v>319328.734335882</v>
      </c>
      <c r="M16" s="25" t="n">
        <f aca="false">SUM(M14:M15)</f>
        <v>325715.309022599</v>
      </c>
      <c r="N16" s="25" t="n">
        <f aca="false">SUM(N14:N15)</f>
        <v>332229.615203051</v>
      </c>
      <c r="O16" s="25" t="n">
        <f aca="false">SUM(O14:O15)</f>
        <v>338874.207507112</v>
      </c>
      <c r="P16" s="25" t="n">
        <f aca="false">SUM(P14:P15)</f>
        <v>345651.691657254</v>
      </c>
      <c r="Q16" s="25" t="n">
        <f aca="false">SUM(Q14:Q15)</f>
        <v>352564.725490399</v>
      </c>
    </row>
    <row r="18" customFormat="false" ht="15" hidden="false" customHeight="true" outlineLevel="0" collapsed="false">
      <c r="A18" s="5"/>
      <c r="B18" s="5" t="s">
        <v>782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customFormat="false" ht="15" hidden="false" customHeight="true" outlineLevel="0" collapsed="false">
      <c r="B19" s="24" t="s">
        <v>783</v>
      </c>
      <c r="C19" s="42" t="n">
        <f aca="false">IF('3-Operations'!$C$7=1,'2-Financial Inputs'!$C$71*'2-Financial Inputs'!$C$69*Revenue!C4*(1+'2-Financial Inputs'!$C$11)^0,0)</f>
        <v>117600</v>
      </c>
      <c r="D19" s="42" t="n">
        <f aca="false">IF('3-Operations'!$C$7=1,'2-Financial Inputs'!$C$71*'2-Financial Inputs'!$C$69*Revenue!D4*(1+'2-Financial Inputs'!$C$11)^1,0)</f>
        <v>145656</v>
      </c>
      <c r="E19" s="42" t="n">
        <f aca="false">IF('3-Operations'!$C$7=1,'2-Financial Inputs'!$C$71*'2-Financial Inputs'!$C$69*Revenue!E4*(1+'2-Financial Inputs'!$C$11)^2,0)</f>
        <v>174787.2</v>
      </c>
      <c r="F19" s="42" t="n">
        <f aca="false">IF('3-Operations'!$C$7=1,'2-Financial Inputs'!$C$71*'2-Financial Inputs'!$C$69*Revenue!F4*(1+'2-Financial Inputs'!$C$11)^3,0)</f>
        <v>178282.944</v>
      </c>
      <c r="G19" s="42" t="n">
        <f aca="false">IF('3-Operations'!$C$7=1,'2-Financial Inputs'!$C$71*'2-Financial Inputs'!$C$69*Revenue!G4*(1+'2-Financial Inputs'!$C$11)^4,0)</f>
        <v>181848.60288</v>
      </c>
      <c r="H19" s="42" t="n">
        <f aca="false">IF('3-Operations'!$C$7=1,'2-Financial Inputs'!$C$71*'2-Financial Inputs'!$C$69*Revenue!H4*(1+'2-Financial Inputs'!$C$11)^5,0)</f>
        <v>185485.5749376</v>
      </c>
      <c r="I19" s="42" t="n">
        <f aca="false">IF('3-Operations'!$C$7=1,'2-Financial Inputs'!$C$71*'2-Financial Inputs'!$C$69*Revenue!I4*(1+'2-Financial Inputs'!$C$11)^6,0)</f>
        <v>189195.286436352</v>
      </c>
      <c r="J19" s="42" t="n">
        <f aca="false">IF('3-Operations'!$C$7=1,'2-Financial Inputs'!$C$71*'2-Financial Inputs'!$C$69*Revenue!J4*(1+'2-Financial Inputs'!$C$11)^7,0)</f>
        <v>192979.192165079</v>
      </c>
      <c r="K19" s="42" t="n">
        <f aca="false">IF('3-Operations'!$C$7=1,'2-Financial Inputs'!$C$71*'2-Financial Inputs'!$C$69*Revenue!K4*(1+'2-Financial Inputs'!$C$11)^8,0)</f>
        <v>196838.776008381</v>
      </c>
      <c r="L19" s="42" t="n">
        <f aca="false">IF('3-Operations'!$C$7=1,'2-Financial Inputs'!$C$71*'2-Financial Inputs'!$C$69*Revenue!L4*(1+'2-Financial Inputs'!$C$11)^9,0)</f>
        <v>200775.551528548</v>
      </c>
      <c r="M19" s="42" t="n">
        <f aca="false">IF('3-Operations'!$C$7=1,'2-Financial Inputs'!$C$71*'2-Financial Inputs'!$C$69*Revenue!M4*(1+'2-Financial Inputs'!$C$11)^10,0)</f>
        <v>204791.062559119</v>
      </c>
      <c r="N19" s="42" t="n">
        <f aca="false">IF('3-Operations'!$C$7=1,'2-Financial Inputs'!$C$71*'2-Financial Inputs'!$C$69*Revenue!N4*(1+'2-Financial Inputs'!$C$11)^11,0)</f>
        <v>208886.883810302</v>
      </c>
      <c r="O19" s="42" t="n">
        <f aca="false">IF('3-Operations'!$C$7=1,'2-Financial Inputs'!$C$71*'2-Financial Inputs'!$C$69*Revenue!O4*(1+'2-Financial Inputs'!$C$11)^12,0)</f>
        <v>213064.621486508</v>
      </c>
      <c r="P19" s="42" t="n">
        <f aca="false">IF('3-Operations'!$C$7=1,'2-Financial Inputs'!$C$71*'2-Financial Inputs'!$C$69*Revenue!P4*(1+'2-Financial Inputs'!$C$11)^13,0)</f>
        <v>217325.913916238</v>
      </c>
      <c r="Q19" s="42" t="n">
        <f aca="false">IF('3-Operations'!$C$7=1,'2-Financial Inputs'!$C$71*'2-Financial Inputs'!$C$69*Revenue!Q4*(1+'2-Financial Inputs'!$C$11)^14,0)</f>
        <v>221672.432194563</v>
      </c>
    </row>
    <row r="20" customFormat="false" ht="15" hidden="false" customHeight="true" outlineLevel="0" collapsed="false">
      <c r="B20" s="24" t="s">
        <v>784</v>
      </c>
      <c r="C20" s="42" t="n">
        <f aca="false">IF('3-Operations'!$C$7=1,'2-Financial Inputs'!$C$72*CAPEX!$C$29*Revenue!C4*(1+'2-Financial Inputs'!$C$11)^0,0)</f>
        <v>12040</v>
      </c>
      <c r="D20" s="42" t="n">
        <f aca="false">IF('3-Operations'!$C$7=1,'2-Financial Inputs'!$C$72*CAPEX!$C$29*Revenue!D4*(1+'2-Financial Inputs'!$C$11)^1,0)</f>
        <v>14912.4</v>
      </c>
      <c r="E20" s="42" t="n">
        <f aca="false">IF('3-Operations'!$C$7=1,'2-Financial Inputs'!$C$72*CAPEX!$C$29*Revenue!E4*(1+'2-Financial Inputs'!$C$11)^2,0)</f>
        <v>17894.88</v>
      </c>
      <c r="F20" s="42" t="n">
        <f aca="false">IF('3-Operations'!$C$7=1,'2-Financial Inputs'!$C$72*CAPEX!$C$29*Revenue!F4*(1+'2-Financial Inputs'!$C$11)^3,0)</f>
        <v>18252.7776</v>
      </c>
      <c r="G20" s="42" t="n">
        <f aca="false">IF('3-Operations'!$C$7=1,'2-Financial Inputs'!$C$72*CAPEX!$C$29*Revenue!G4*(1+'2-Financial Inputs'!$C$11)^4,0)</f>
        <v>18617.833152</v>
      </c>
      <c r="H20" s="42" t="n">
        <f aca="false">IF('3-Operations'!$C$7=1,'2-Financial Inputs'!$C$72*CAPEX!$C$29*Revenue!H4*(1+'2-Financial Inputs'!$C$11)^5,0)</f>
        <v>18990.18981504</v>
      </c>
      <c r="I20" s="42" t="n">
        <f aca="false">IF('3-Operations'!$C$7=1,'2-Financial Inputs'!$C$72*CAPEX!$C$29*Revenue!I4*(1+'2-Financial Inputs'!$C$11)^6,0)</f>
        <v>19369.9936113408</v>
      </c>
      <c r="J20" s="42" t="n">
        <f aca="false">IF('3-Operations'!$C$7=1,'2-Financial Inputs'!$C$72*CAPEX!$C$29*Revenue!J4*(1+'2-Financial Inputs'!$C$11)^7,0)</f>
        <v>19757.3934835676</v>
      </c>
      <c r="K20" s="42" t="n">
        <f aca="false">IF('3-Operations'!$C$7=1,'2-Financial Inputs'!$C$72*CAPEX!$C$29*Revenue!K4*(1+'2-Financial Inputs'!$C$11)^8,0)</f>
        <v>20152.541353239</v>
      </c>
      <c r="L20" s="42" t="n">
        <f aca="false">IF('3-Operations'!$C$7=1,'2-Financial Inputs'!$C$72*CAPEX!$C$29*Revenue!L4*(1+'2-Financial Inputs'!$C$11)^9,0)</f>
        <v>20555.5921803038</v>
      </c>
      <c r="M20" s="42" t="n">
        <f aca="false">IF('3-Operations'!$C$7=1,'2-Financial Inputs'!$C$72*CAPEX!$C$29*Revenue!M4*(1+'2-Financial Inputs'!$C$11)^10,0)</f>
        <v>20966.7040239098</v>
      </c>
      <c r="N20" s="42" t="n">
        <f aca="false">IF('3-Operations'!$C$7=1,'2-Financial Inputs'!$C$72*CAPEX!$C$29*Revenue!N4*(1+'2-Financial Inputs'!$C$11)^11,0)</f>
        <v>21386.038104388</v>
      </c>
      <c r="O20" s="42" t="n">
        <f aca="false">IF('3-Operations'!$C$7=1,'2-Financial Inputs'!$C$72*CAPEX!$C$29*Revenue!O4*(1+'2-Financial Inputs'!$C$11)^12,0)</f>
        <v>21813.7588664758</v>
      </c>
      <c r="P20" s="42" t="n">
        <f aca="false">IF('3-Operations'!$C$7=1,'2-Financial Inputs'!$C$72*CAPEX!$C$29*Revenue!P4*(1+'2-Financial Inputs'!$C$11)^13,0)</f>
        <v>22250.0340438053</v>
      </c>
      <c r="Q20" s="42" t="n">
        <f aca="false">IF('3-Operations'!$C$7=1,'2-Financial Inputs'!$C$72*CAPEX!$C$29*Revenue!Q4*(1+'2-Financial Inputs'!$C$11)^14,0)</f>
        <v>22695.0347246814</v>
      </c>
    </row>
    <row r="21" customFormat="false" ht="15" hidden="false" customHeight="true" outlineLevel="0" collapsed="false">
      <c r="B21" s="39" t="s">
        <v>785</v>
      </c>
      <c r="C21" s="25" t="n">
        <f aca="false">SUM(C19:C20)</f>
        <v>129640</v>
      </c>
      <c r="D21" s="25" t="n">
        <f aca="false">SUM(D19:D20)</f>
        <v>160568.4</v>
      </c>
      <c r="E21" s="25" t="n">
        <f aca="false">SUM(E19:E20)</f>
        <v>192682.08</v>
      </c>
      <c r="F21" s="25" t="n">
        <f aca="false">SUM(F19:F20)</f>
        <v>196535.7216</v>
      </c>
      <c r="G21" s="25" t="n">
        <f aca="false">SUM(G19:G20)</f>
        <v>200466.436032</v>
      </c>
      <c r="H21" s="25" t="n">
        <f aca="false">SUM(H19:H20)</f>
        <v>204475.76475264</v>
      </c>
      <c r="I21" s="25" t="n">
        <f aca="false">SUM(I19:I20)</f>
        <v>208565.280047693</v>
      </c>
      <c r="J21" s="25" t="n">
        <f aca="false">SUM(J19:J20)</f>
        <v>212736.585648647</v>
      </c>
      <c r="K21" s="25" t="n">
        <f aca="false">SUM(K19:K20)</f>
        <v>216991.31736162</v>
      </c>
      <c r="L21" s="25" t="n">
        <f aca="false">SUM(L19:L20)</f>
        <v>221331.143708852</v>
      </c>
      <c r="M21" s="25" t="n">
        <f aca="false">SUM(M19:M20)</f>
        <v>225757.766583029</v>
      </c>
      <c r="N21" s="25" t="n">
        <f aca="false">SUM(N19:N20)</f>
        <v>230272.92191469</v>
      </c>
      <c r="O21" s="25" t="n">
        <f aca="false">SUM(O19:O20)</f>
        <v>234878.380352983</v>
      </c>
      <c r="P21" s="25" t="n">
        <f aca="false">SUM(P19:P20)</f>
        <v>239575.947960043</v>
      </c>
      <c r="Q21" s="25" t="n">
        <f aca="false">SUM(Q19:Q20)</f>
        <v>244367.466919244</v>
      </c>
    </row>
    <row r="22" customFormat="false" ht="15" hidden="false" customHeight="true" outlineLevel="0" collapsed="false">
      <c r="B22" s="47" t="s">
        <v>786</v>
      </c>
      <c r="C22" s="48" t="n">
        <f aca="false">'4-Production Calcs'!$C$98*Revenue!C4*'2-Financial Inputs'!$C$56*(1+'2-Financial Inputs'!$C$11)^0</f>
        <v>390022.396995</v>
      </c>
      <c r="D22" s="48" t="n">
        <f aca="false">'4-Production Calcs'!$C$98*Revenue!D4*'2-Financial Inputs'!$C$56*(1+'2-Financial Inputs'!$C$11)^1</f>
        <v>483070.59742095</v>
      </c>
      <c r="E22" s="48" t="n">
        <f aca="false">'4-Production Calcs'!$C$98*Revenue!E4*'2-Financial Inputs'!$C$56*(1+'2-Financial Inputs'!$C$11)^2</f>
        <v>579684.71690514</v>
      </c>
      <c r="F22" s="48" t="n">
        <f aca="false">'4-Production Calcs'!$C$98*Revenue!F4*'2-Financial Inputs'!$C$56*(1+'2-Financial Inputs'!$C$11)^3</f>
        <v>591278.411243243</v>
      </c>
      <c r="G22" s="48" t="n">
        <f aca="false">'4-Production Calcs'!$C$98*Revenue!G4*'2-Financial Inputs'!$C$56*(1+'2-Financial Inputs'!$C$11)^4</f>
        <v>603103.979468108</v>
      </c>
      <c r="H22" s="48" t="n">
        <f aca="false">'4-Production Calcs'!$C$98*Revenue!H4*'2-Financial Inputs'!$C$56*(1+'2-Financial Inputs'!$C$11)^5</f>
        <v>615166.05905747</v>
      </c>
      <c r="I22" s="48" t="n">
        <f aca="false">'4-Production Calcs'!$C$98*Revenue!I4*'2-Financial Inputs'!$C$56*(1+'2-Financial Inputs'!$C$11)^6</f>
        <v>627469.38023862</v>
      </c>
      <c r="J22" s="48" t="n">
        <f aca="false">'4-Production Calcs'!$C$98*Revenue!J4*'2-Financial Inputs'!$C$56*(1+'2-Financial Inputs'!$C$11)^7</f>
        <v>640018.767843392</v>
      </c>
      <c r="K22" s="48" t="n">
        <f aca="false">'4-Production Calcs'!$C$98*Revenue!K4*'2-Financial Inputs'!$C$56*(1+'2-Financial Inputs'!$C$11)^8</f>
        <v>652819.14320026</v>
      </c>
      <c r="L22" s="48" t="n">
        <f aca="false">'4-Production Calcs'!$C$98*Revenue!L4*'2-Financial Inputs'!$C$56*(1+'2-Financial Inputs'!$C$11)^9</f>
        <v>665875.526064265</v>
      </c>
      <c r="M22" s="48" t="n">
        <f aca="false">'4-Production Calcs'!$C$98*Revenue!M4*'2-Financial Inputs'!$C$56*(1+'2-Financial Inputs'!$C$11)^10</f>
        <v>679193.036585551</v>
      </c>
      <c r="N22" s="48" t="n">
        <f aca="false">'4-Production Calcs'!$C$98*Revenue!N4*'2-Financial Inputs'!$C$56*(1+'2-Financial Inputs'!$C$11)^11</f>
        <v>692776.897317261</v>
      </c>
      <c r="O22" s="48" t="n">
        <f aca="false">'4-Production Calcs'!$C$98*Revenue!O4*'2-Financial Inputs'!$C$56*(1+'2-Financial Inputs'!$C$11)^12</f>
        <v>706632.435263607</v>
      </c>
      <c r="P22" s="48" t="n">
        <f aca="false">'4-Production Calcs'!$C$98*Revenue!P4*'2-Financial Inputs'!$C$56*(1+'2-Financial Inputs'!$C$11)^13</f>
        <v>720765.083968879</v>
      </c>
      <c r="Q22" s="48" t="n">
        <f aca="false">'4-Production Calcs'!$C$98*Revenue!Q4*'2-Financial Inputs'!$C$56*(1+'2-Financial Inputs'!$C$11)^14</f>
        <v>735180.385648256</v>
      </c>
    </row>
    <row r="23" customFormat="false" ht="15" hidden="false" customHeight="true" outlineLevel="0" collapsed="false">
      <c r="B23" s="45" t="s">
        <v>787</v>
      </c>
      <c r="C23" s="49" t="n">
        <f aca="false">C11+C16+C21+C22</f>
        <v>4986559.91003395</v>
      </c>
      <c r="D23" s="49" t="n">
        <f aca="false">D11+D16+D21+D22</f>
        <v>6106507.65642776</v>
      </c>
      <c r="E23" s="49" t="n">
        <f aca="false">E11+E16+E21+E22</f>
        <v>7269258.68871331</v>
      </c>
      <c r="F23" s="49" t="n">
        <f aca="false">F11+F16+F21+F22</f>
        <v>7414643.86248758</v>
      </c>
      <c r="G23" s="49" t="n">
        <f aca="false">G11+G16+G21+G22</f>
        <v>7562936.73973733</v>
      </c>
      <c r="H23" s="49" t="n">
        <f aca="false">H11+H16+H21+H22</f>
        <v>7714195.47453208</v>
      </c>
      <c r="I23" s="49" t="n">
        <f aca="false">I11+I16+I21+I22</f>
        <v>7868479.38402272</v>
      </c>
      <c r="J23" s="49" t="n">
        <f aca="false">J11+J16+J21+J22</f>
        <v>8025848.97170317</v>
      </c>
      <c r="K23" s="49" t="n">
        <f aca="false">K11+K16+K21+K22</f>
        <v>8186365.95113724</v>
      </c>
      <c r="L23" s="49" t="n">
        <f aca="false">L11+L16+L21+L22</f>
        <v>8350093.27015998</v>
      </c>
      <c r="M23" s="49" t="n">
        <f aca="false">M11+M16+M21+M22</f>
        <v>8517095.13556318</v>
      </c>
      <c r="N23" s="49" t="n">
        <f aca="false">N11+N16+N21+N22</f>
        <v>8687437.03827445</v>
      </c>
      <c r="O23" s="49" t="n">
        <f aca="false">O11+O16+O21+O22</f>
        <v>8861185.77903993</v>
      </c>
      <c r="P23" s="49" t="n">
        <f aca="false">P11+P16+P21+P22</f>
        <v>9038409.49462074</v>
      </c>
      <c r="Q23" s="49" t="n">
        <f aca="false">Q11+Q16+Q21+Q22</f>
        <v>9219177.68451315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6" min="3" style="1" width="18"/>
  </cols>
  <sheetData>
    <row r="1" customFormat="false" ht="15.75" hidden="false" customHeight="true" outlineLevel="0" collapsed="false">
      <c r="A1" s="2" t="s">
        <v>788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789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39" t="s">
        <v>790</v>
      </c>
      <c r="B3" s="42" t="n">
        <f aca="false">CAPEX!C46</f>
        <v>44646350</v>
      </c>
      <c r="C3" s="39" t="s">
        <v>791</v>
      </c>
      <c r="D3" s="25" t="n">
        <f aca="false">PMT('2-Financial Inputs'!C7,'2-Financial Inputs'!C8,-CAPEX!C46)</f>
        <v>7901696.93753785</v>
      </c>
    </row>
    <row r="5" customFormat="false" ht="15" hidden="false" customHeight="true" outlineLevel="0" collapsed="false">
      <c r="A5" s="4" t="s">
        <v>792</v>
      </c>
      <c r="B5" s="4" t="s">
        <v>793</v>
      </c>
      <c r="C5" s="4" t="s">
        <v>794</v>
      </c>
      <c r="D5" s="4" t="s">
        <v>795</v>
      </c>
      <c r="E5" s="4" t="s">
        <v>796</v>
      </c>
      <c r="F5" s="4" t="s">
        <v>797</v>
      </c>
    </row>
    <row r="6" customFormat="false" ht="15" hidden="false" customHeight="true" outlineLevel="0" collapsed="false">
      <c r="A6" s="7" t="n">
        <v>1</v>
      </c>
      <c r="B6" s="38" t="n">
        <f aca="false">CAPEX!C46</f>
        <v>44646350</v>
      </c>
      <c r="C6" s="34" t="n">
        <f aca="false">$D$3</f>
        <v>7901696.93753785</v>
      </c>
      <c r="D6" s="38" t="n">
        <f aca="false">B6*'2-Financial Inputs'!$C$7</f>
        <v>5357562</v>
      </c>
      <c r="E6" s="34" t="n">
        <f aca="false">C6-D6</f>
        <v>2544134.93753785</v>
      </c>
      <c r="F6" s="34" t="n">
        <f aca="false">B6-E6</f>
        <v>42102215.0624621</v>
      </c>
    </row>
    <row r="7" customFormat="false" ht="15" hidden="false" customHeight="true" outlineLevel="0" collapsed="false">
      <c r="A7" s="7" t="n">
        <v>2</v>
      </c>
      <c r="B7" s="34" t="n">
        <f aca="false">F6</f>
        <v>42102215.0624621</v>
      </c>
      <c r="C7" s="34" t="n">
        <f aca="false">$D$3</f>
        <v>7901696.93753785</v>
      </c>
      <c r="D7" s="38" t="n">
        <f aca="false">B7*'2-Financial Inputs'!$C$7</f>
        <v>5052265.80749546</v>
      </c>
      <c r="E7" s="34" t="n">
        <f aca="false">C7-D7</f>
        <v>2849431.1300424</v>
      </c>
      <c r="F7" s="34" t="n">
        <f aca="false">B7-E7</f>
        <v>39252783.9324198</v>
      </c>
    </row>
    <row r="8" customFormat="false" ht="15" hidden="false" customHeight="true" outlineLevel="0" collapsed="false">
      <c r="A8" s="7" t="n">
        <v>3</v>
      </c>
      <c r="B8" s="34" t="n">
        <f aca="false">F7</f>
        <v>39252783.9324198</v>
      </c>
      <c r="C8" s="34" t="n">
        <f aca="false">$D$3</f>
        <v>7901696.93753785</v>
      </c>
      <c r="D8" s="38" t="n">
        <f aca="false">B8*'2-Financial Inputs'!$C$7</f>
        <v>4710334.07189037</v>
      </c>
      <c r="E8" s="34" t="n">
        <f aca="false">C8-D8</f>
        <v>3191362.86564748</v>
      </c>
      <c r="F8" s="34" t="n">
        <f aca="false">B8-E8</f>
        <v>36061421.0667723</v>
      </c>
    </row>
    <row r="9" customFormat="false" ht="15" hidden="false" customHeight="true" outlineLevel="0" collapsed="false">
      <c r="A9" s="7" t="n">
        <v>4</v>
      </c>
      <c r="B9" s="34" t="n">
        <f aca="false">F8</f>
        <v>36061421.0667723</v>
      </c>
      <c r="C9" s="34" t="n">
        <f aca="false">$D$3</f>
        <v>7901696.93753785</v>
      </c>
      <c r="D9" s="38" t="n">
        <f aca="false">B9*'2-Financial Inputs'!$C$7</f>
        <v>4327370.52801267</v>
      </c>
      <c r="E9" s="34" t="n">
        <f aca="false">C9-D9</f>
        <v>3574326.40952518</v>
      </c>
      <c r="F9" s="34" t="n">
        <f aca="false">B9-E9</f>
        <v>32487094.6572471</v>
      </c>
    </row>
    <row r="10" customFormat="false" ht="15" hidden="false" customHeight="true" outlineLevel="0" collapsed="false">
      <c r="A10" s="7" t="n">
        <v>5</v>
      </c>
      <c r="B10" s="34" t="n">
        <f aca="false">F9</f>
        <v>32487094.6572471</v>
      </c>
      <c r="C10" s="34" t="n">
        <f aca="false">$D$3</f>
        <v>7901696.93753785</v>
      </c>
      <c r="D10" s="38" t="n">
        <f aca="false">B10*'2-Financial Inputs'!$C$7</f>
        <v>3898451.35886965</v>
      </c>
      <c r="E10" s="34" t="n">
        <f aca="false">C10-D10</f>
        <v>4003245.5786682</v>
      </c>
      <c r="F10" s="34" t="n">
        <f aca="false">B10-E10</f>
        <v>28483849.0785789</v>
      </c>
    </row>
    <row r="11" customFormat="false" ht="15" hidden="false" customHeight="true" outlineLevel="0" collapsed="false">
      <c r="A11" s="7" t="n">
        <v>6</v>
      </c>
      <c r="B11" s="34" t="n">
        <f aca="false">F10</f>
        <v>28483849.0785789</v>
      </c>
      <c r="C11" s="34" t="n">
        <f aca="false">$D$3</f>
        <v>7901696.93753785</v>
      </c>
      <c r="D11" s="38" t="n">
        <f aca="false">B11*'2-Financial Inputs'!$C$7</f>
        <v>3418061.88942947</v>
      </c>
      <c r="E11" s="34" t="n">
        <f aca="false">C11-D11</f>
        <v>4483635.04810839</v>
      </c>
      <c r="F11" s="34" t="n">
        <f aca="false">B11-E11</f>
        <v>24000214.0304705</v>
      </c>
    </row>
    <row r="12" customFormat="false" ht="15" hidden="false" customHeight="true" outlineLevel="0" collapsed="false">
      <c r="A12" s="7" t="n">
        <v>7</v>
      </c>
      <c r="B12" s="34" t="n">
        <f aca="false">F11</f>
        <v>24000214.0304705</v>
      </c>
      <c r="C12" s="34" t="n">
        <f aca="false">$D$3</f>
        <v>7901696.93753785</v>
      </c>
      <c r="D12" s="38" t="n">
        <f aca="false">B12*'2-Financial Inputs'!$C$7</f>
        <v>2880025.68365646</v>
      </c>
      <c r="E12" s="34" t="n">
        <f aca="false">C12-D12</f>
        <v>5021671.2538814</v>
      </c>
      <c r="F12" s="34" t="n">
        <f aca="false">B12-E12</f>
        <v>18978542.7765891</v>
      </c>
    </row>
    <row r="13" customFormat="false" ht="15" hidden="false" customHeight="true" outlineLevel="0" collapsed="false">
      <c r="A13" s="7" t="n">
        <v>8</v>
      </c>
      <c r="B13" s="34" t="n">
        <f aca="false">F12</f>
        <v>18978542.7765891</v>
      </c>
      <c r="C13" s="34" t="n">
        <f aca="false">$D$3</f>
        <v>7901696.93753785</v>
      </c>
      <c r="D13" s="38" t="n">
        <f aca="false">B13*'2-Financial Inputs'!$C$7</f>
        <v>2277425.13319069</v>
      </c>
      <c r="E13" s="34" t="n">
        <f aca="false">C13-D13</f>
        <v>5624271.80434716</v>
      </c>
      <c r="F13" s="34" t="n">
        <f aca="false">B13-E13</f>
        <v>13354270.9722419</v>
      </c>
    </row>
    <row r="14" customFormat="false" ht="15" hidden="false" customHeight="true" outlineLevel="0" collapsed="false">
      <c r="A14" s="7" t="n">
        <v>9</v>
      </c>
      <c r="B14" s="34" t="n">
        <f aca="false">F13</f>
        <v>13354270.9722419</v>
      </c>
      <c r="C14" s="34" t="n">
        <f aca="false">$D$3</f>
        <v>7901696.93753785</v>
      </c>
      <c r="D14" s="38" t="n">
        <f aca="false">B14*'2-Financial Inputs'!$C$7</f>
        <v>1602512.51666903</v>
      </c>
      <c r="E14" s="34" t="n">
        <f aca="false">C14-D14</f>
        <v>6299184.42086882</v>
      </c>
      <c r="F14" s="34" t="n">
        <f aca="false">B14-E14</f>
        <v>7055086.55137311</v>
      </c>
    </row>
    <row r="15" customFormat="false" ht="15" hidden="false" customHeight="true" outlineLevel="0" collapsed="false">
      <c r="A15" s="7" t="n">
        <v>10</v>
      </c>
      <c r="B15" s="34" t="n">
        <f aca="false">F14</f>
        <v>7055086.55137311</v>
      </c>
      <c r="C15" s="34" t="n">
        <f aca="false">$D$3</f>
        <v>7901696.93753785</v>
      </c>
      <c r="D15" s="38" t="n">
        <f aca="false">B15*'2-Financial Inputs'!$C$7</f>
        <v>846610.386164773</v>
      </c>
      <c r="E15" s="34" t="n">
        <f aca="false">C15-D15</f>
        <v>7055086.55137308</v>
      </c>
      <c r="F15" s="34" t="n">
        <f aca="false">B15-E15</f>
        <v>2.51457095146179E-008</v>
      </c>
    </row>
    <row r="16" customFormat="false" ht="15" hidden="false" customHeight="true" outlineLevel="0" collapsed="false">
      <c r="A16" s="16" t="s">
        <v>798</v>
      </c>
      <c r="B16" s="15"/>
      <c r="C16" s="34" t="n">
        <f aca="false">SUM(C6:C15)</f>
        <v>79016969.3753785</v>
      </c>
      <c r="D16" s="34" t="n">
        <f aca="false">SUM(D6:D15)</f>
        <v>34370619.3753786</v>
      </c>
      <c r="E16" s="34" t="n">
        <f aca="false">SUM(E6:E15)</f>
        <v>44646350</v>
      </c>
      <c r="F16" s="1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17" min="3" style="1" width="14"/>
  </cols>
  <sheetData>
    <row r="1" customFormat="false" ht="15.75" hidden="false" customHeight="true" outlineLevel="0" collapsed="false">
      <c r="A1" s="2" t="s">
        <v>799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C3" s="40" t="s">
        <v>733</v>
      </c>
      <c r="D3" s="40" t="s">
        <v>734</v>
      </c>
      <c r="E3" s="40" t="s">
        <v>735</v>
      </c>
      <c r="F3" s="40" t="s">
        <v>736</v>
      </c>
      <c r="G3" s="40" t="s">
        <v>737</v>
      </c>
      <c r="H3" s="40" t="s">
        <v>738</v>
      </c>
      <c r="I3" s="40" t="s">
        <v>739</v>
      </c>
      <c r="J3" s="40" t="s">
        <v>740</v>
      </c>
      <c r="K3" s="40" t="s">
        <v>741</v>
      </c>
      <c r="L3" s="40" t="s">
        <v>742</v>
      </c>
      <c r="M3" s="40" t="s">
        <v>743</v>
      </c>
      <c r="N3" s="40" t="s">
        <v>744</v>
      </c>
      <c r="O3" s="40" t="s">
        <v>745</v>
      </c>
      <c r="P3" s="40" t="s">
        <v>746</v>
      </c>
      <c r="Q3" s="40" t="s">
        <v>747</v>
      </c>
    </row>
    <row r="4" customFormat="false" ht="15" hidden="false" customHeight="true" outlineLevel="0" collapsed="false">
      <c r="B4" s="39" t="s">
        <v>800</v>
      </c>
      <c r="C4" s="42" t="n">
        <f aca="false">Revenue!C33</f>
        <v>10850753.104884</v>
      </c>
      <c r="D4" s="42" t="n">
        <f aca="false">Revenue!D33</f>
        <v>13439432.774192</v>
      </c>
      <c r="E4" s="42" t="n">
        <f aca="false">Revenue!E33</f>
        <v>16127319.3290304</v>
      </c>
      <c r="F4" s="42" t="n">
        <f aca="false">Revenue!F33</f>
        <v>16449865.7156111</v>
      </c>
      <c r="G4" s="42" t="n">
        <f aca="false">Revenue!G33</f>
        <v>16778863.0299233</v>
      </c>
      <c r="H4" s="42" t="n">
        <f aca="false">Revenue!H33</f>
        <v>17114440.2905217</v>
      </c>
      <c r="I4" s="42" t="n">
        <f aca="false">Revenue!I33</f>
        <v>17456729.0963322</v>
      </c>
      <c r="J4" s="42" t="n">
        <f aca="false">Revenue!J33</f>
        <v>17805863.6782588</v>
      </c>
      <c r="K4" s="42" t="n">
        <f aca="false">Revenue!K33</f>
        <v>18161980.951824</v>
      </c>
      <c r="L4" s="42" t="n">
        <f aca="false">Revenue!L33</f>
        <v>18525220.5708605</v>
      </c>
      <c r="M4" s="42" t="n">
        <f aca="false">Revenue!M33</f>
        <v>18895724.9822777</v>
      </c>
      <c r="N4" s="42" t="n">
        <f aca="false">Revenue!N33</f>
        <v>19273639.4819232</v>
      </c>
      <c r="O4" s="42" t="n">
        <f aca="false">Revenue!O33</f>
        <v>19659112.2715617</v>
      </c>
      <c r="P4" s="42" t="n">
        <f aca="false">Revenue!P33</f>
        <v>20052294.5169929</v>
      </c>
      <c r="Q4" s="42" t="n">
        <f aca="false">Revenue!Q33</f>
        <v>20453340.4073328</v>
      </c>
    </row>
    <row r="5" customFormat="false" ht="15" hidden="false" customHeight="true" outlineLevel="0" collapsed="false">
      <c r="B5" s="39" t="s">
        <v>801</v>
      </c>
      <c r="C5" s="42" t="n">
        <f aca="false">-OPEX!C23</f>
        <v>-4986559.91003395</v>
      </c>
      <c r="D5" s="42" t="n">
        <f aca="false">-OPEX!D23</f>
        <v>-6106507.65642776</v>
      </c>
      <c r="E5" s="42" t="n">
        <f aca="false">-OPEX!E23</f>
        <v>-7269258.68871331</v>
      </c>
      <c r="F5" s="42" t="n">
        <f aca="false">-OPEX!F23</f>
        <v>-7414643.86248758</v>
      </c>
      <c r="G5" s="42" t="n">
        <f aca="false">-OPEX!G23</f>
        <v>-7562936.73973733</v>
      </c>
      <c r="H5" s="42" t="n">
        <f aca="false">-OPEX!H23</f>
        <v>-7714195.47453208</v>
      </c>
      <c r="I5" s="42" t="n">
        <f aca="false">-OPEX!I23</f>
        <v>-7868479.38402272</v>
      </c>
      <c r="J5" s="42" t="n">
        <f aca="false">-OPEX!J23</f>
        <v>-8025848.97170317</v>
      </c>
      <c r="K5" s="42" t="n">
        <f aca="false">-OPEX!K23</f>
        <v>-8186365.95113724</v>
      </c>
      <c r="L5" s="42" t="n">
        <f aca="false">-OPEX!L23</f>
        <v>-8350093.27015998</v>
      </c>
      <c r="M5" s="42" t="n">
        <f aca="false">-OPEX!M23</f>
        <v>-8517095.13556318</v>
      </c>
      <c r="N5" s="42" t="n">
        <f aca="false">-OPEX!N23</f>
        <v>-8687437.03827445</v>
      </c>
      <c r="O5" s="42" t="n">
        <f aca="false">-OPEX!O23</f>
        <v>-8861185.77903993</v>
      </c>
      <c r="P5" s="42" t="n">
        <f aca="false">-OPEX!P23</f>
        <v>-9038409.49462074</v>
      </c>
      <c r="Q5" s="42" t="n">
        <f aca="false">-OPEX!Q23</f>
        <v>-9219177.68451315</v>
      </c>
    </row>
    <row r="6" customFormat="false" ht="15" hidden="false" customHeight="true" outlineLevel="0" collapsed="false">
      <c r="B6" s="50" t="s">
        <v>802</v>
      </c>
      <c r="C6" s="51" t="n">
        <f aca="false">C4+C5</f>
        <v>5864193.19485005</v>
      </c>
      <c r="D6" s="51" t="n">
        <f aca="false">D4+D5</f>
        <v>7332925.11776428</v>
      </c>
      <c r="E6" s="51" t="n">
        <f aca="false">E4+E5</f>
        <v>8858060.64031714</v>
      </c>
      <c r="F6" s="51" t="n">
        <f aca="false">F4+F5</f>
        <v>9035221.85312348</v>
      </c>
      <c r="G6" s="51" t="n">
        <f aca="false">G4+G5</f>
        <v>9215926.29018595</v>
      </c>
      <c r="H6" s="51" t="n">
        <f aca="false">H4+H5</f>
        <v>9400244.81598967</v>
      </c>
      <c r="I6" s="51" t="n">
        <f aca="false">I4+I5</f>
        <v>9588249.71230946</v>
      </c>
      <c r="J6" s="51" t="n">
        <f aca="false">J4+J5</f>
        <v>9780014.70655565</v>
      </c>
      <c r="K6" s="51" t="n">
        <f aca="false">K4+K5</f>
        <v>9975615.00068677</v>
      </c>
      <c r="L6" s="51" t="n">
        <f aca="false">L4+L5</f>
        <v>10175127.3007005</v>
      </c>
      <c r="M6" s="51" t="n">
        <f aca="false">M4+M5</f>
        <v>10378629.8467145</v>
      </c>
      <c r="N6" s="51" t="n">
        <f aca="false">N4+N5</f>
        <v>10586202.4436488</v>
      </c>
      <c r="O6" s="51" t="n">
        <f aca="false">O4+O5</f>
        <v>10797926.4925218</v>
      </c>
      <c r="P6" s="51" t="n">
        <f aca="false">P4+P5</f>
        <v>11013885.0223722</v>
      </c>
      <c r="Q6" s="51" t="n">
        <f aca="false">Q4+Q5</f>
        <v>11234162.7228197</v>
      </c>
    </row>
    <row r="7" customFormat="false" ht="15" hidden="false" customHeight="true" outlineLevel="0" collapsed="false">
      <c r="B7" s="24" t="s">
        <v>803</v>
      </c>
      <c r="C7" s="52" t="n">
        <f aca="false">IF(C4=0,0,C6/C4)</f>
        <v>0.540441123133706</v>
      </c>
      <c r="D7" s="52" t="n">
        <f aca="false">IF(D4=0,0,D6/D4)</f>
        <v>0.545627575283223</v>
      </c>
      <c r="E7" s="52" t="n">
        <f aca="false">IF(E4=0,0,E6/E4)</f>
        <v>0.549258091787885</v>
      </c>
      <c r="F7" s="52" t="n">
        <f aca="false">IF(F4=0,0,F6/F4)</f>
        <v>0.549258091787885</v>
      </c>
      <c r="G7" s="52" t="n">
        <f aca="false">IF(G4=0,0,G6/G4)</f>
        <v>0.549258091787885</v>
      </c>
      <c r="H7" s="52" t="n">
        <f aca="false">IF(H4=0,0,H6/H4)</f>
        <v>0.549258091787885</v>
      </c>
      <c r="I7" s="52" t="n">
        <f aca="false">IF(I4=0,0,I6/I4)</f>
        <v>0.549258091787885</v>
      </c>
      <c r="J7" s="52" t="n">
        <f aca="false">IF(J4=0,0,J6/J4)</f>
        <v>0.549258091787885</v>
      </c>
      <c r="K7" s="52" t="n">
        <f aca="false">IF(K4=0,0,K6/K4)</f>
        <v>0.549258091787885</v>
      </c>
      <c r="L7" s="52" t="n">
        <f aca="false">IF(L4=0,0,L6/L4)</f>
        <v>0.549258091787885</v>
      </c>
      <c r="M7" s="52" t="n">
        <f aca="false">IF(M4=0,0,M6/M4)</f>
        <v>0.549258091787885</v>
      </c>
      <c r="N7" s="52" t="n">
        <f aca="false">IF(N4=0,0,N6/N4)</f>
        <v>0.549258091787885</v>
      </c>
      <c r="O7" s="52" t="n">
        <f aca="false">IF(O4=0,0,O6/O4)</f>
        <v>0.549258091787885</v>
      </c>
      <c r="P7" s="52" t="n">
        <f aca="false">IF(P4=0,0,P6/P4)</f>
        <v>0.549258091787885</v>
      </c>
      <c r="Q7" s="52" t="n">
        <f aca="false">IF(Q4=0,0,Q6/Q4)</f>
        <v>0.549258091787885</v>
      </c>
    </row>
    <row r="8" customFormat="false" ht="15" hidden="false" customHeight="true" outlineLevel="0" collapsed="false">
      <c r="B8" s="24" t="s">
        <v>804</v>
      </c>
      <c r="C8" s="42" t="n">
        <f aca="false">-CAPEX!$C$48</f>
        <v>-4252033.33333333</v>
      </c>
      <c r="D8" s="42" t="n">
        <f aca="false">-CAPEX!$C$48</f>
        <v>-4252033.33333333</v>
      </c>
      <c r="E8" s="42" t="n">
        <f aca="false">-CAPEX!$C$48</f>
        <v>-4252033.33333333</v>
      </c>
      <c r="F8" s="42" t="n">
        <f aca="false">-CAPEX!$C$48</f>
        <v>-4252033.33333333</v>
      </c>
      <c r="G8" s="42" t="n">
        <f aca="false">-CAPEX!$C$48</f>
        <v>-4252033.33333333</v>
      </c>
      <c r="H8" s="42" t="n">
        <f aca="false">-CAPEX!$C$48</f>
        <v>-4252033.33333333</v>
      </c>
      <c r="I8" s="42" t="n">
        <f aca="false">-CAPEX!$C$48</f>
        <v>-4252033.33333333</v>
      </c>
      <c r="J8" s="42" t="n">
        <f aca="false">-CAPEX!$C$48</f>
        <v>-4252033.33333333</v>
      </c>
      <c r="K8" s="42" t="n">
        <f aca="false">-CAPEX!$C$48</f>
        <v>-4252033.33333333</v>
      </c>
      <c r="L8" s="42" t="n">
        <f aca="false">-CAPEX!$C$48</f>
        <v>-4252033.33333333</v>
      </c>
      <c r="M8" s="42" t="n">
        <f aca="false">-CAPEX!$C$48</f>
        <v>-4252033.33333333</v>
      </c>
      <c r="N8" s="42" t="n">
        <f aca="false">-CAPEX!$C$48</f>
        <v>-4252033.33333333</v>
      </c>
      <c r="O8" s="42" t="n">
        <f aca="false">-CAPEX!$C$48</f>
        <v>-4252033.33333333</v>
      </c>
      <c r="P8" s="42" t="n">
        <f aca="false">-CAPEX!$C$48</f>
        <v>-4252033.33333333</v>
      </c>
      <c r="Q8" s="42" t="n">
        <f aca="false">-CAPEX!$C$48</f>
        <v>-4252033.33333333</v>
      </c>
    </row>
    <row r="9" customFormat="false" ht="15" hidden="false" customHeight="true" outlineLevel="0" collapsed="false">
      <c r="B9" s="39" t="s">
        <v>805</v>
      </c>
      <c r="C9" s="25" t="n">
        <f aca="false">C6+C8</f>
        <v>1612159.86151672</v>
      </c>
      <c r="D9" s="25" t="n">
        <f aca="false">D6+D8</f>
        <v>3080891.78443095</v>
      </c>
      <c r="E9" s="25" t="n">
        <f aca="false">E6+E8</f>
        <v>4606027.3069838</v>
      </c>
      <c r="F9" s="25" t="n">
        <f aca="false">F6+F8</f>
        <v>4783188.51979015</v>
      </c>
      <c r="G9" s="25" t="n">
        <f aca="false">G6+G8</f>
        <v>4963892.95685261</v>
      </c>
      <c r="H9" s="25" t="n">
        <f aca="false">H6+H8</f>
        <v>5148211.48265633</v>
      </c>
      <c r="I9" s="25" t="n">
        <f aca="false">I6+I8</f>
        <v>5336216.37897613</v>
      </c>
      <c r="J9" s="25" t="n">
        <f aca="false">J6+J8</f>
        <v>5527981.37322232</v>
      </c>
      <c r="K9" s="25" t="n">
        <f aca="false">K6+K8</f>
        <v>5723581.66735343</v>
      </c>
      <c r="L9" s="25" t="n">
        <f aca="false">L6+L8</f>
        <v>5923093.96736717</v>
      </c>
      <c r="M9" s="25" t="n">
        <f aca="false">M6+M8</f>
        <v>6126596.51338117</v>
      </c>
      <c r="N9" s="25" t="n">
        <f aca="false">N6+N8</f>
        <v>6334169.11031547</v>
      </c>
      <c r="O9" s="25" t="n">
        <f aca="false">O6+O8</f>
        <v>6545893.15918845</v>
      </c>
      <c r="P9" s="25" t="n">
        <f aca="false">P6+P8</f>
        <v>6761851.68903887</v>
      </c>
      <c r="Q9" s="25" t="n">
        <f aca="false">Q6+Q8</f>
        <v>6982129.38948632</v>
      </c>
    </row>
    <row r="10" customFormat="false" ht="15" hidden="false" customHeight="true" outlineLevel="0" collapsed="false">
      <c r="B10" s="24" t="s">
        <v>806</v>
      </c>
      <c r="C10" s="42" t="n">
        <f aca="false">-Amortization!D6</f>
        <v>-5357562</v>
      </c>
      <c r="D10" s="42" t="n">
        <f aca="false">-Amortization!D7</f>
        <v>-5052265.80749546</v>
      </c>
      <c r="E10" s="42" t="n">
        <f aca="false">-Amortization!D8</f>
        <v>-4710334.07189037</v>
      </c>
      <c r="F10" s="42" t="n">
        <f aca="false">-Amortization!D9</f>
        <v>-4327370.52801267</v>
      </c>
      <c r="G10" s="42" t="n">
        <f aca="false">-Amortization!D10</f>
        <v>-3898451.35886965</v>
      </c>
      <c r="H10" s="42" t="n">
        <f aca="false">-Amortization!D11</f>
        <v>-3418061.88942947</v>
      </c>
      <c r="I10" s="42" t="n">
        <f aca="false">-Amortization!D12</f>
        <v>-2880025.68365646</v>
      </c>
      <c r="J10" s="42" t="n">
        <f aca="false">-Amortization!D13</f>
        <v>-2277425.13319069</v>
      </c>
      <c r="K10" s="42" t="n">
        <f aca="false">-Amortization!D14</f>
        <v>-1602512.51666903</v>
      </c>
      <c r="L10" s="42" t="n">
        <f aca="false">-Amortization!D15</f>
        <v>-846610.386164773</v>
      </c>
      <c r="M10" s="25" t="n">
        <v>0</v>
      </c>
      <c r="N10" s="25" t="n">
        <v>0</v>
      </c>
      <c r="O10" s="25" t="n">
        <v>0</v>
      </c>
      <c r="P10" s="25" t="n">
        <v>0</v>
      </c>
      <c r="Q10" s="25" t="n">
        <v>0</v>
      </c>
    </row>
    <row r="11" customFormat="false" ht="15" hidden="false" customHeight="true" outlineLevel="0" collapsed="false">
      <c r="B11" s="39" t="s">
        <v>807</v>
      </c>
      <c r="C11" s="25" t="n">
        <f aca="false">C9+C10</f>
        <v>-3745402.13848328</v>
      </c>
      <c r="D11" s="25" t="n">
        <f aca="false">D9+D10</f>
        <v>-1971374.02306451</v>
      </c>
      <c r="E11" s="25" t="n">
        <f aca="false">E9+E10</f>
        <v>-104306.764906568</v>
      </c>
      <c r="F11" s="25" t="n">
        <f aca="false">F9+F10</f>
        <v>455817.991777479</v>
      </c>
      <c r="G11" s="25" t="n">
        <f aca="false">G9+G10</f>
        <v>1065441.59798297</v>
      </c>
      <c r="H11" s="25" t="n">
        <f aca="false">H9+H10</f>
        <v>1730149.59322687</v>
      </c>
      <c r="I11" s="25" t="n">
        <f aca="false">I9+I10</f>
        <v>2456190.69531967</v>
      </c>
      <c r="J11" s="25" t="n">
        <f aca="false">J9+J10</f>
        <v>3250556.24003162</v>
      </c>
      <c r="K11" s="25" t="n">
        <f aca="false">K9+K10</f>
        <v>4121069.1506844</v>
      </c>
      <c r="L11" s="25" t="n">
        <f aca="false">L9+L10</f>
        <v>5076483.58120239</v>
      </c>
      <c r="M11" s="25" t="n">
        <f aca="false">M9+M10</f>
        <v>6126596.51338117</v>
      </c>
      <c r="N11" s="25" t="n">
        <f aca="false">N9+N10</f>
        <v>6334169.11031547</v>
      </c>
      <c r="O11" s="25" t="n">
        <f aca="false">O9+O10</f>
        <v>6545893.15918845</v>
      </c>
      <c r="P11" s="25" t="n">
        <f aca="false">P9+P10</f>
        <v>6761851.68903887</v>
      </c>
      <c r="Q11" s="25" t="n">
        <f aca="false">Q9+Q10</f>
        <v>6982129.38948632</v>
      </c>
    </row>
    <row r="12" customFormat="false" ht="15" hidden="false" customHeight="true" outlineLevel="0" collapsed="false">
      <c r="B12" s="24" t="s">
        <v>808</v>
      </c>
      <c r="C12" s="42" t="n">
        <f aca="false">IF(C11&gt;0,-C11*'2-Financial Inputs'!$C$9,0)</f>
        <v>0</v>
      </c>
      <c r="D12" s="42" t="n">
        <f aca="false">IF(D11&gt;0,-D11*'2-Financial Inputs'!$C$9,0)</f>
        <v>0</v>
      </c>
      <c r="E12" s="42" t="n">
        <f aca="false">IF(E11&gt;0,-E11*'2-Financial Inputs'!$C$9,0)</f>
        <v>0</v>
      </c>
      <c r="F12" s="42" t="n">
        <f aca="false">IF(F11&gt;0,-F11*'2-Financial Inputs'!$C$9,0)</f>
        <v>-113954.49794437</v>
      </c>
      <c r="G12" s="42" t="n">
        <f aca="false">IF(G11&gt;0,-G11*'2-Financial Inputs'!$C$9,0)</f>
        <v>-266360.399495741</v>
      </c>
      <c r="H12" s="42" t="n">
        <f aca="false">IF(H11&gt;0,-H11*'2-Financial Inputs'!$C$9,0)</f>
        <v>-432537.398306717</v>
      </c>
      <c r="I12" s="42" t="n">
        <f aca="false">IF(I11&gt;0,-I11*'2-Financial Inputs'!$C$9,0)</f>
        <v>-614047.673829917</v>
      </c>
      <c r="J12" s="42" t="n">
        <f aca="false">IF(J11&gt;0,-J11*'2-Financial Inputs'!$C$9,0)</f>
        <v>-812639.060007906</v>
      </c>
      <c r="K12" s="42" t="n">
        <f aca="false">IF(K11&gt;0,-K11*'2-Financial Inputs'!$C$9,0)</f>
        <v>-1030267.2876711</v>
      </c>
      <c r="L12" s="42" t="n">
        <f aca="false">IF(L11&gt;0,-L11*'2-Financial Inputs'!$C$9,0)</f>
        <v>-1269120.8953006</v>
      </c>
      <c r="M12" s="42" t="n">
        <f aca="false">IF(M11&gt;0,-M11*'2-Financial Inputs'!$C$9,0)</f>
        <v>-1531649.12834529</v>
      </c>
      <c r="N12" s="42" t="n">
        <f aca="false">IF(N11&gt;0,-N11*'2-Financial Inputs'!$C$9,0)</f>
        <v>-1583542.27757887</v>
      </c>
      <c r="O12" s="42" t="n">
        <f aca="false">IF(O11&gt;0,-O11*'2-Financial Inputs'!$C$9,0)</f>
        <v>-1636473.28979711</v>
      </c>
      <c r="P12" s="42" t="n">
        <f aca="false">IF(P11&gt;0,-P11*'2-Financial Inputs'!$C$9,0)</f>
        <v>-1690462.92225972</v>
      </c>
      <c r="Q12" s="42" t="n">
        <f aca="false">IF(Q11&gt;0,-Q11*'2-Financial Inputs'!$C$9,0)</f>
        <v>-1745532.34737158</v>
      </c>
    </row>
    <row r="13" customFormat="false" ht="15" hidden="false" customHeight="true" outlineLevel="0" collapsed="false">
      <c r="B13" s="45" t="s">
        <v>809</v>
      </c>
      <c r="C13" s="46" t="n">
        <f aca="false">C11+C12</f>
        <v>-3745402.13848328</v>
      </c>
      <c r="D13" s="46" t="n">
        <f aca="false">D11+D12</f>
        <v>-1971374.02306451</v>
      </c>
      <c r="E13" s="46" t="n">
        <f aca="false">E11+E12</f>
        <v>-104306.764906568</v>
      </c>
      <c r="F13" s="46" t="n">
        <f aca="false">F11+F12</f>
        <v>341863.493833109</v>
      </c>
      <c r="G13" s="46" t="n">
        <f aca="false">G11+G12</f>
        <v>799081.198487224</v>
      </c>
      <c r="H13" s="46" t="n">
        <f aca="false">H11+H12</f>
        <v>1297612.19492015</v>
      </c>
      <c r="I13" s="46" t="n">
        <f aca="false">I11+I12</f>
        <v>1842143.02148975</v>
      </c>
      <c r="J13" s="46" t="n">
        <f aca="false">J11+J12</f>
        <v>2437917.18002372</v>
      </c>
      <c r="K13" s="46" t="n">
        <f aca="false">K11+K12</f>
        <v>3090801.8630133</v>
      </c>
      <c r="L13" s="46" t="n">
        <f aca="false">L11+L12</f>
        <v>3807362.6859018</v>
      </c>
      <c r="M13" s="46" t="n">
        <f aca="false">M11+M12</f>
        <v>4594947.38503588</v>
      </c>
      <c r="N13" s="46" t="n">
        <f aca="false">N11+N12</f>
        <v>4750626.8327366</v>
      </c>
      <c r="O13" s="46" t="n">
        <f aca="false">O11+O12</f>
        <v>4909419.86939133</v>
      </c>
      <c r="P13" s="46" t="n">
        <f aca="false">P11+P12</f>
        <v>5071388.76677916</v>
      </c>
      <c r="Q13" s="46" t="n">
        <f aca="false">Q11+Q12</f>
        <v>5236597.04211474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17" min="3" style="1" width="14"/>
  </cols>
  <sheetData>
    <row r="1" customFormat="false" ht="15.75" hidden="false" customHeight="true" outlineLevel="0" collapsed="false">
      <c r="A1" s="2" t="s">
        <v>810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C3" s="53" t="s">
        <v>733</v>
      </c>
      <c r="D3" s="53" t="s">
        <v>734</v>
      </c>
      <c r="E3" s="53" t="s">
        <v>735</v>
      </c>
      <c r="F3" s="53" t="s">
        <v>736</v>
      </c>
      <c r="G3" s="53" t="s">
        <v>737</v>
      </c>
      <c r="H3" s="53" t="s">
        <v>738</v>
      </c>
      <c r="I3" s="53" t="s">
        <v>739</v>
      </c>
      <c r="J3" s="53" t="s">
        <v>740</v>
      </c>
      <c r="K3" s="53" t="s">
        <v>741</v>
      </c>
      <c r="L3" s="53" t="s">
        <v>742</v>
      </c>
      <c r="M3" s="53" t="s">
        <v>743</v>
      </c>
      <c r="N3" s="53" t="s">
        <v>744</v>
      </c>
      <c r="O3" s="53" t="s">
        <v>745</v>
      </c>
      <c r="P3" s="53" t="s">
        <v>746</v>
      </c>
      <c r="Q3" s="53" t="s">
        <v>747</v>
      </c>
    </row>
    <row r="4" customFormat="false" ht="15" hidden="false" customHeight="true" outlineLevel="0" collapsed="false">
      <c r="B4" s="24" t="s">
        <v>811</v>
      </c>
      <c r="C4" s="42" t="n">
        <f aca="false">IF('3-Operations'!$C$6=1,('4-Production Calcs'!C23*'1-Waste Input'!$C$10/1000*'2-Financial Inputs'!$C$49+'4-Production Calcs'!C24*'1-Waste Input'!$C$10/1000*'2-Financial Inputs'!$C$50)*Revenue!C4*(1+'2-Financial Inputs'!$C$11)^0,0)</f>
        <v>534822.75</v>
      </c>
      <c r="D4" s="42" t="n">
        <f aca="false">IF('3-Operations'!$C$6=1,('4-Production Calcs'!C23*'1-Waste Input'!$C$10/1000*'2-Financial Inputs'!$C$49+'4-Production Calcs'!C24*'1-Waste Input'!$C$10/1000*'2-Financial Inputs'!$C$50)*Revenue!D4*(1+'2-Financial Inputs'!$C$11)^1,0)</f>
        <v>662416.1775</v>
      </c>
      <c r="E4" s="42" t="n">
        <f aca="false">IF('3-Operations'!$C$6=1,('4-Production Calcs'!C23*'1-Waste Input'!$C$10/1000*'2-Financial Inputs'!$C$49+'4-Production Calcs'!C24*'1-Waste Input'!$C$10/1000*'2-Financial Inputs'!$C$50)*Revenue!E4*(1+'2-Financial Inputs'!$C$11)^2,0)</f>
        <v>794899.413</v>
      </c>
      <c r="F4" s="42" t="n">
        <f aca="false">IF('3-Operations'!$C$6=1,('4-Production Calcs'!C23*'1-Waste Input'!$C$10/1000*'2-Financial Inputs'!$C$49+'4-Production Calcs'!C24*'1-Waste Input'!$C$10/1000*'2-Financial Inputs'!$C$50)*Revenue!F4*(1+'2-Financial Inputs'!$C$11)^3,0)</f>
        <v>810797.40126</v>
      </c>
      <c r="G4" s="42" t="n">
        <f aca="false">IF('3-Operations'!$C$6=1,('4-Production Calcs'!C23*'1-Waste Input'!$C$10/1000*'2-Financial Inputs'!$C$49+'4-Production Calcs'!C24*'1-Waste Input'!$C$10/1000*'2-Financial Inputs'!$C$50)*Revenue!G4*(1+'2-Financial Inputs'!$C$11)^4,0)</f>
        <v>827013.3492852</v>
      </c>
      <c r="H4" s="42" t="n">
        <f aca="false">IF('3-Operations'!$C$6=1,('4-Production Calcs'!C23*'1-Waste Input'!$C$10/1000*'2-Financial Inputs'!$C$49+'4-Production Calcs'!C24*'1-Waste Input'!$C$10/1000*'2-Financial Inputs'!$C$50)*Revenue!H4*(1+'2-Financial Inputs'!$C$11)^5,0)</f>
        <v>843553.616270904</v>
      </c>
      <c r="I4" s="42" t="n">
        <f aca="false">IF('3-Operations'!$C$6=1,('4-Production Calcs'!C23*'1-Waste Input'!$C$10/1000*'2-Financial Inputs'!$C$49+'4-Production Calcs'!C24*'1-Waste Input'!$C$10/1000*'2-Financial Inputs'!$C$50)*Revenue!I4*(1+'2-Financial Inputs'!$C$11)^6,0)</f>
        <v>860424.688596322</v>
      </c>
      <c r="J4" s="42" t="n">
        <f aca="false">IF('3-Operations'!$C$6=1,('4-Production Calcs'!C23*'1-Waste Input'!$C$10/1000*'2-Financial Inputs'!$C$49+'4-Production Calcs'!C24*'1-Waste Input'!$C$10/1000*'2-Financial Inputs'!$C$50)*Revenue!J4*(1+'2-Financial Inputs'!$C$11)^7,0)</f>
        <v>877633.182368249</v>
      </c>
      <c r="K4" s="42" t="n">
        <f aca="false">IF('3-Operations'!$C$6=1,('4-Production Calcs'!C23*'1-Waste Input'!$C$10/1000*'2-Financial Inputs'!$C$49+'4-Production Calcs'!C24*'1-Waste Input'!$C$10/1000*'2-Financial Inputs'!$C$50)*Revenue!K4*(1+'2-Financial Inputs'!$C$11)^8,0)</f>
        <v>895185.846015614</v>
      </c>
      <c r="L4" s="42" t="n">
        <f aca="false">IF('3-Operations'!$C$6=1,('4-Production Calcs'!C23*'1-Waste Input'!$C$10/1000*'2-Financial Inputs'!$C$49+'4-Production Calcs'!C24*'1-Waste Input'!$C$10/1000*'2-Financial Inputs'!$C$50)*Revenue!L4*(1+'2-Financial Inputs'!$C$11)^9,0)</f>
        <v>913089.562935926</v>
      </c>
      <c r="M4" s="42" t="n">
        <f aca="false">IF('3-Operations'!$C$6=1,('4-Production Calcs'!C23*'1-Waste Input'!$C$10/1000*'2-Financial Inputs'!$C$49+'4-Production Calcs'!C24*'1-Waste Input'!$C$10/1000*'2-Financial Inputs'!$C$50)*Revenue!M4*(1+'2-Financial Inputs'!$C$11)^10,0)</f>
        <v>931351.354194644</v>
      </c>
      <c r="N4" s="42" t="n">
        <f aca="false">IF('3-Operations'!$C$6=1,('4-Production Calcs'!C23*'1-Waste Input'!$C$10/1000*'2-Financial Inputs'!$C$49+'4-Production Calcs'!C24*'1-Waste Input'!$C$10/1000*'2-Financial Inputs'!$C$50)*Revenue!N4*(1+'2-Financial Inputs'!$C$11)^11,0)</f>
        <v>949978.381278537</v>
      </c>
      <c r="O4" s="42" t="n">
        <f aca="false">IF('3-Operations'!$C$6=1,('4-Production Calcs'!C23*'1-Waste Input'!$C$10/1000*'2-Financial Inputs'!$C$49+'4-Production Calcs'!C24*'1-Waste Input'!$C$10/1000*'2-Financial Inputs'!$C$50)*Revenue!O4*(1+'2-Financial Inputs'!$C$11)^12,0)</f>
        <v>968977.948904108</v>
      </c>
      <c r="P4" s="42" t="n">
        <f aca="false">IF('3-Operations'!$C$6=1,('4-Production Calcs'!C23*'1-Waste Input'!$C$10/1000*'2-Financial Inputs'!$C$49+'4-Production Calcs'!C24*'1-Waste Input'!$C$10/1000*'2-Financial Inputs'!$C$50)*Revenue!P4*(1+'2-Financial Inputs'!$C$11)^13,0)</f>
        <v>988357.50788219</v>
      </c>
      <c r="Q4" s="42" t="n">
        <f aca="false">IF('3-Operations'!$C$6=1,('4-Production Calcs'!C23*'1-Waste Input'!$C$10/1000*'2-Financial Inputs'!$C$49+'4-Production Calcs'!C24*'1-Waste Input'!$C$10/1000*'2-Financial Inputs'!$C$50)*Revenue!Q4*(1+'2-Financial Inputs'!$C$11)^14,0)</f>
        <v>1008124.65803983</v>
      </c>
    </row>
    <row r="5" customFormat="false" ht="15" hidden="false" customHeight="true" outlineLevel="0" collapsed="false">
      <c r="B5" s="24" t="s">
        <v>812</v>
      </c>
      <c r="C5" s="42" t="n">
        <f aca="false">Revenue!C24</f>
        <v>36605.646</v>
      </c>
      <c r="D5" s="42" t="n">
        <f aca="false">Revenue!D24</f>
        <v>45338.70726</v>
      </c>
      <c r="E5" s="42" t="n">
        <f aca="false">Revenue!E24</f>
        <v>54406.448712</v>
      </c>
      <c r="F5" s="42" t="n">
        <f aca="false">Revenue!F24</f>
        <v>55494.57768624</v>
      </c>
      <c r="G5" s="42" t="n">
        <f aca="false">Revenue!G24</f>
        <v>56604.4692399648</v>
      </c>
      <c r="H5" s="42" t="n">
        <f aca="false">Revenue!H24</f>
        <v>57736.5586247641</v>
      </c>
      <c r="I5" s="42" t="n">
        <f aca="false">Revenue!I24</f>
        <v>58891.2897972594</v>
      </c>
      <c r="J5" s="42" t="n">
        <f aca="false">Revenue!J24</f>
        <v>60069.1155932046</v>
      </c>
      <c r="K5" s="42" t="n">
        <f aca="false">Revenue!K24</f>
        <v>61270.4979050687</v>
      </c>
      <c r="L5" s="42" t="n">
        <f aca="false">Revenue!L24</f>
        <v>62495.90786317</v>
      </c>
      <c r="M5" s="42" t="n">
        <f aca="false">Revenue!M24</f>
        <v>63745.8260204334</v>
      </c>
      <c r="N5" s="42" t="n">
        <f aca="false">Revenue!N24</f>
        <v>65020.7425408421</v>
      </c>
      <c r="O5" s="42" t="n">
        <f aca="false">Revenue!O24</f>
        <v>66321.157391659</v>
      </c>
      <c r="P5" s="42" t="n">
        <f aca="false">Revenue!P24</f>
        <v>67647.5805394921</v>
      </c>
      <c r="Q5" s="42" t="n">
        <f aca="false">Revenue!Q24</f>
        <v>69000.532150282</v>
      </c>
    </row>
    <row r="6" customFormat="false" ht="15" hidden="false" customHeight="true" outlineLevel="0" collapsed="false">
      <c r="B6" s="39" t="s">
        <v>813</v>
      </c>
      <c r="C6" s="25" t="n">
        <f aca="false">C4+C5</f>
        <v>571428.396</v>
      </c>
      <c r="D6" s="25" t="n">
        <f aca="false">D4+D5</f>
        <v>707754.88476</v>
      </c>
      <c r="E6" s="25" t="n">
        <f aca="false">E4+E5</f>
        <v>849305.861712</v>
      </c>
      <c r="F6" s="25" t="n">
        <f aca="false">F4+F5</f>
        <v>866291.97894624</v>
      </c>
      <c r="G6" s="25" t="n">
        <f aca="false">G4+G5</f>
        <v>883617.818525165</v>
      </c>
      <c r="H6" s="25" t="n">
        <f aca="false">H4+H5</f>
        <v>901290.174895668</v>
      </c>
      <c r="I6" s="25" t="n">
        <f aca="false">I4+I5</f>
        <v>919315.978393582</v>
      </c>
      <c r="J6" s="25" t="n">
        <f aca="false">J4+J5</f>
        <v>937702.297961453</v>
      </c>
      <c r="K6" s="25" t="n">
        <f aca="false">K4+K5</f>
        <v>956456.343920682</v>
      </c>
      <c r="L6" s="25" t="n">
        <f aca="false">L4+L5</f>
        <v>975585.470799096</v>
      </c>
      <c r="M6" s="25" t="n">
        <f aca="false">M4+M5</f>
        <v>995097.180215078</v>
      </c>
      <c r="N6" s="25" t="n">
        <f aca="false">N4+N5</f>
        <v>1014999.12381938</v>
      </c>
      <c r="O6" s="25" t="n">
        <f aca="false">O4+O5</f>
        <v>1035299.10629577</v>
      </c>
      <c r="P6" s="25" t="n">
        <f aca="false">P4+P5</f>
        <v>1056005.08842168</v>
      </c>
      <c r="Q6" s="25" t="n">
        <f aca="false">Q4+Q5</f>
        <v>1077125.19019012</v>
      </c>
    </row>
    <row r="7" customFormat="false" ht="15" hidden="false" customHeight="true" outlineLevel="0" collapsed="false">
      <c r="B7" s="24" t="s">
        <v>814</v>
      </c>
      <c r="C7" s="42" t="n">
        <f aca="false">-OPEX!C16</f>
        <v>-187040</v>
      </c>
      <c r="D7" s="42" t="n">
        <f aca="false">-OPEX!D16</f>
        <v>-231662.4</v>
      </c>
      <c r="E7" s="42" t="n">
        <f aca="false">-OPEX!E16</f>
        <v>-277994.88</v>
      </c>
      <c r="F7" s="42" t="n">
        <f aca="false">-OPEX!F16</f>
        <v>-283554.7776</v>
      </c>
      <c r="G7" s="42" t="n">
        <f aca="false">-OPEX!G16</f>
        <v>-289225.873152</v>
      </c>
      <c r="H7" s="42" t="n">
        <f aca="false">-OPEX!H16</f>
        <v>-295010.39061504</v>
      </c>
      <c r="I7" s="42" t="n">
        <f aca="false">-OPEX!I16</f>
        <v>-300910.598427341</v>
      </c>
      <c r="J7" s="42" t="n">
        <f aca="false">-OPEX!J16</f>
        <v>-306928.810395888</v>
      </c>
      <c r="K7" s="42" t="n">
        <f aca="false">-OPEX!K16</f>
        <v>-313067.386603805</v>
      </c>
      <c r="L7" s="42" t="n">
        <f aca="false">-OPEX!L16</f>
        <v>-319328.734335882</v>
      </c>
      <c r="M7" s="42" t="n">
        <f aca="false">-OPEX!M16</f>
        <v>-325715.309022599</v>
      </c>
      <c r="N7" s="42" t="n">
        <f aca="false">-OPEX!N16</f>
        <v>-332229.615203051</v>
      </c>
      <c r="O7" s="42" t="n">
        <f aca="false">-OPEX!O16</f>
        <v>-338874.207507112</v>
      </c>
      <c r="P7" s="42" t="n">
        <f aca="false">-OPEX!P16</f>
        <v>-345651.691657254</v>
      </c>
      <c r="Q7" s="42" t="n">
        <f aca="false">-OPEX!Q16</f>
        <v>-352564.725490399</v>
      </c>
    </row>
    <row r="8" customFormat="false" ht="15" hidden="false" customHeight="true" outlineLevel="0" collapsed="false">
      <c r="B8" s="50" t="s">
        <v>815</v>
      </c>
      <c r="C8" s="51" t="n">
        <f aca="false">C6+C7</f>
        <v>384388.396</v>
      </c>
      <c r="D8" s="51" t="n">
        <f aca="false">D6+D7</f>
        <v>476092.48476</v>
      </c>
      <c r="E8" s="51" t="n">
        <f aca="false">E6+E7</f>
        <v>571310.981712</v>
      </c>
      <c r="F8" s="51" t="n">
        <f aca="false">F6+F7</f>
        <v>582737.20134624</v>
      </c>
      <c r="G8" s="51" t="n">
        <f aca="false">G6+G7</f>
        <v>594391.945373165</v>
      </c>
      <c r="H8" s="51" t="n">
        <f aca="false">H6+H7</f>
        <v>606279.784280628</v>
      </c>
      <c r="I8" s="51" t="n">
        <f aca="false">I6+I7</f>
        <v>618405.379966241</v>
      </c>
      <c r="J8" s="51" t="n">
        <f aca="false">J6+J7</f>
        <v>630773.487565566</v>
      </c>
      <c r="K8" s="51" t="n">
        <f aca="false">K6+K7</f>
        <v>643388.957316877</v>
      </c>
      <c r="L8" s="51" t="n">
        <f aca="false">L6+L7</f>
        <v>656256.736463214</v>
      </c>
      <c r="M8" s="51" t="n">
        <f aca="false">M6+M7</f>
        <v>669381.871192479</v>
      </c>
      <c r="N8" s="51" t="n">
        <f aca="false">N6+N7</f>
        <v>682769.508616328</v>
      </c>
      <c r="O8" s="51" t="n">
        <f aca="false">O6+O7</f>
        <v>696424.898788655</v>
      </c>
      <c r="P8" s="51" t="n">
        <f aca="false">P6+P7</f>
        <v>710353.396764428</v>
      </c>
      <c r="Q8" s="51" t="n">
        <f aca="false">Q6+Q7</f>
        <v>724560.464699717</v>
      </c>
    </row>
    <row r="9" customFormat="false" ht="15" hidden="false" customHeight="true" outlineLevel="0" collapsed="false">
      <c r="B9" s="39" t="s">
        <v>816</v>
      </c>
      <c r="C9" s="42" t="n">
        <f aca="false">CAPEX!C21</f>
        <v>1080000</v>
      </c>
    </row>
    <row r="10" customFormat="false" ht="15" hidden="false" customHeight="true" outlineLevel="0" collapsed="false">
      <c r="B10" s="39" t="s">
        <v>817</v>
      </c>
      <c r="C10" s="54" t="n">
        <f aca="false">IF(E8&gt;0,C9/E8,0)</f>
        <v>1.89038900803841</v>
      </c>
    </row>
    <row r="1048576" customFormat="false" ht="12.7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17" min="3" style="1" width="14"/>
  </cols>
  <sheetData>
    <row r="1" customFormat="false" ht="15.75" hidden="false" customHeight="true" outlineLevel="0" collapsed="false">
      <c r="A1" s="2" t="s">
        <v>818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C3" s="53" t="s">
        <v>733</v>
      </c>
      <c r="D3" s="53" t="s">
        <v>734</v>
      </c>
      <c r="E3" s="53" t="s">
        <v>735</v>
      </c>
      <c r="F3" s="53" t="s">
        <v>736</v>
      </c>
      <c r="G3" s="53" t="s">
        <v>737</v>
      </c>
      <c r="H3" s="53" t="s">
        <v>738</v>
      </c>
      <c r="I3" s="53" t="s">
        <v>739</v>
      </c>
      <c r="J3" s="53" t="s">
        <v>740</v>
      </c>
      <c r="K3" s="53" t="s">
        <v>741</v>
      </c>
      <c r="L3" s="53" t="s">
        <v>742</v>
      </c>
      <c r="M3" s="53" t="s">
        <v>743</v>
      </c>
      <c r="N3" s="53" t="s">
        <v>744</v>
      </c>
      <c r="O3" s="53" t="s">
        <v>745</v>
      </c>
      <c r="P3" s="53" t="s">
        <v>746</v>
      </c>
      <c r="Q3" s="53" t="s">
        <v>747</v>
      </c>
    </row>
    <row r="4" customFormat="false" ht="15" hidden="false" customHeight="true" outlineLevel="0" collapsed="false">
      <c r="B4" s="24" t="s">
        <v>751</v>
      </c>
      <c r="C4" s="42" t="n">
        <f aca="false">Revenue!C8</f>
        <v>3557400</v>
      </c>
      <c r="D4" s="42" t="n">
        <f aca="false">Revenue!D8</f>
        <v>4406094</v>
      </c>
      <c r="E4" s="42" t="n">
        <f aca="false">Revenue!E8</f>
        <v>5287312.8</v>
      </c>
      <c r="F4" s="42" t="n">
        <f aca="false">Revenue!F8</f>
        <v>5393059.056</v>
      </c>
      <c r="G4" s="42" t="n">
        <f aca="false">Revenue!G8</f>
        <v>5500920.23712</v>
      </c>
      <c r="H4" s="42" t="n">
        <f aca="false">Revenue!H8</f>
        <v>5610938.6418624</v>
      </c>
      <c r="I4" s="42" t="n">
        <f aca="false">Revenue!I8</f>
        <v>5723157.41469965</v>
      </c>
      <c r="J4" s="42" t="n">
        <f aca="false">Revenue!J8</f>
        <v>5837620.56299364</v>
      </c>
      <c r="K4" s="42" t="n">
        <f aca="false">Revenue!K8</f>
        <v>5954372.97425352</v>
      </c>
      <c r="L4" s="42" t="n">
        <f aca="false">Revenue!L8</f>
        <v>6073460.43373859</v>
      </c>
      <c r="M4" s="42" t="n">
        <f aca="false">Revenue!M8</f>
        <v>6194929.64241336</v>
      </c>
      <c r="N4" s="42" t="n">
        <f aca="false">Revenue!N8</f>
        <v>6318828.23526162</v>
      </c>
      <c r="O4" s="42" t="n">
        <f aca="false">Revenue!O8</f>
        <v>6445204.79996686</v>
      </c>
      <c r="P4" s="42" t="n">
        <f aca="false">Revenue!P8</f>
        <v>6574108.89596619</v>
      </c>
      <c r="Q4" s="42" t="n">
        <f aca="false">Revenue!Q8</f>
        <v>6705591.07388552</v>
      </c>
    </row>
    <row r="5" customFormat="false" ht="15" hidden="false" customHeight="true" outlineLevel="0" collapsed="false">
      <c r="B5" s="24" t="s">
        <v>754</v>
      </c>
      <c r="C5" s="42" t="n">
        <f aca="false">Revenue!C12</f>
        <v>4224473.625834</v>
      </c>
      <c r="D5" s="42" t="n">
        <f aca="false">Revenue!D12</f>
        <v>5232312.33371154</v>
      </c>
      <c r="E5" s="42" t="n">
        <f aca="false">Revenue!E12</f>
        <v>6278774.80045385</v>
      </c>
      <c r="F5" s="42" t="n">
        <f aca="false">Revenue!F12</f>
        <v>6404350.29646293</v>
      </c>
      <c r="G5" s="42" t="n">
        <f aca="false">Revenue!G12</f>
        <v>6532437.30239218</v>
      </c>
      <c r="H5" s="42" t="n">
        <f aca="false">Revenue!H12</f>
        <v>6663086.04844003</v>
      </c>
      <c r="I5" s="42" t="n">
        <f aca="false">Revenue!I12</f>
        <v>6796347.76940883</v>
      </c>
      <c r="J5" s="42" t="n">
        <f aca="false">Revenue!J12</f>
        <v>6932274.72479701</v>
      </c>
      <c r="K5" s="42" t="n">
        <f aca="false">Revenue!K12</f>
        <v>7070920.21929295</v>
      </c>
      <c r="L5" s="42" t="n">
        <f aca="false">Revenue!L12</f>
        <v>7212338.62367881</v>
      </c>
      <c r="M5" s="42" t="n">
        <f aca="false">Revenue!M12</f>
        <v>7356585.39615238</v>
      </c>
      <c r="N5" s="42" t="n">
        <f aca="false">Revenue!N12</f>
        <v>7503717.10407543</v>
      </c>
      <c r="O5" s="42" t="n">
        <f aca="false">Revenue!O12</f>
        <v>7653791.44615694</v>
      </c>
      <c r="P5" s="42" t="n">
        <f aca="false">Revenue!P12</f>
        <v>7806867.27508008</v>
      </c>
      <c r="Q5" s="42" t="n">
        <f aca="false">Revenue!Q12</f>
        <v>7963004.62058168</v>
      </c>
    </row>
    <row r="6" customFormat="false" ht="15" hidden="false" customHeight="true" outlineLevel="0" collapsed="false">
      <c r="B6" s="24" t="s">
        <v>757</v>
      </c>
      <c r="C6" s="42" t="n">
        <f aca="false">Revenue!C16</f>
        <v>957083.13855</v>
      </c>
      <c r="D6" s="42" t="n">
        <f aca="false">Revenue!D16</f>
        <v>1185415.8301755</v>
      </c>
      <c r="E6" s="42" t="n">
        <f aca="false">Revenue!E16</f>
        <v>1422498.9962106</v>
      </c>
      <c r="F6" s="42" t="n">
        <f aca="false">Revenue!F16</f>
        <v>1450948.97613481</v>
      </c>
      <c r="G6" s="42" t="n">
        <f aca="false">Revenue!G16</f>
        <v>1479967.95565751</v>
      </c>
      <c r="H6" s="42" t="n">
        <f aca="false">Revenue!H16</f>
        <v>1509567.31477066</v>
      </c>
      <c r="I6" s="42" t="n">
        <f aca="false">Revenue!I16</f>
        <v>1539758.66106607</v>
      </c>
      <c r="J6" s="42" t="n">
        <f aca="false">Revenue!J16</f>
        <v>1570553.83428739</v>
      </c>
      <c r="K6" s="42" t="n">
        <f aca="false">Revenue!K16</f>
        <v>1601964.91097314</v>
      </c>
      <c r="L6" s="42" t="n">
        <f aca="false">Revenue!L16</f>
        <v>1634004.2091926</v>
      </c>
      <c r="M6" s="42" t="n">
        <f aca="false">Revenue!M16</f>
        <v>1666684.29337646</v>
      </c>
      <c r="N6" s="42" t="n">
        <f aca="false">Revenue!N16</f>
        <v>1700017.97924399</v>
      </c>
      <c r="O6" s="42" t="n">
        <f aca="false">Revenue!O16</f>
        <v>1734018.33882886</v>
      </c>
      <c r="P6" s="42" t="n">
        <f aca="false">Revenue!P16</f>
        <v>1768698.70560544</v>
      </c>
      <c r="Q6" s="42" t="n">
        <f aca="false">Revenue!Q16</f>
        <v>1804072.67971755</v>
      </c>
    </row>
    <row r="7" customFormat="false" ht="15" hidden="false" customHeight="true" outlineLevel="0" collapsed="false">
      <c r="B7" s="24" t="s">
        <v>766</v>
      </c>
      <c r="C7" s="42" t="n">
        <f aca="false">Revenue!C28</f>
        <v>1681680</v>
      </c>
      <c r="D7" s="42" t="n">
        <f aca="false">Revenue!D28</f>
        <v>2082880.8</v>
      </c>
      <c r="E7" s="42" t="n">
        <f aca="false">Revenue!E28</f>
        <v>2499456.96</v>
      </c>
      <c r="F7" s="42" t="n">
        <f aca="false">Revenue!F28</f>
        <v>2549446.0992</v>
      </c>
      <c r="G7" s="42" t="n">
        <f aca="false">Revenue!G28</f>
        <v>2600435.021184</v>
      </c>
      <c r="H7" s="42" t="n">
        <f aca="false">Revenue!H28</f>
        <v>2652443.72160768</v>
      </c>
      <c r="I7" s="42" t="n">
        <f aca="false">Revenue!I28</f>
        <v>2705492.59603983</v>
      </c>
      <c r="J7" s="42" t="n">
        <f aca="false">Revenue!J28</f>
        <v>2759602.44796063</v>
      </c>
      <c r="K7" s="42" t="n">
        <f aca="false">Revenue!K28</f>
        <v>2814794.49691984</v>
      </c>
      <c r="L7" s="42" t="n">
        <f aca="false">Revenue!L28</f>
        <v>2871090.38685824</v>
      </c>
      <c r="M7" s="42" t="n">
        <f aca="false">Revenue!M28</f>
        <v>2928512.19459541</v>
      </c>
      <c r="N7" s="42" t="n">
        <f aca="false">Revenue!N28</f>
        <v>2987082.43848731</v>
      </c>
      <c r="O7" s="42" t="n">
        <f aca="false">Revenue!O28</f>
        <v>3046824.08725706</v>
      </c>
      <c r="P7" s="42" t="n">
        <f aca="false">Revenue!P28</f>
        <v>3107760.5690022</v>
      </c>
      <c r="Q7" s="42" t="n">
        <f aca="false">Revenue!Q28</f>
        <v>3169915.78038224</v>
      </c>
    </row>
    <row r="8" customFormat="false" ht="15" hidden="false" customHeight="true" outlineLevel="0" collapsed="false">
      <c r="B8" s="39" t="s">
        <v>819</v>
      </c>
      <c r="C8" s="25" t="n">
        <f aca="false">SUM(C4:C7)</f>
        <v>10420636.764384</v>
      </c>
      <c r="D8" s="25" t="n">
        <f aca="false">SUM(D4:D7)</f>
        <v>12906702.963887</v>
      </c>
      <c r="E8" s="25" t="n">
        <f aca="false">SUM(E4:E7)</f>
        <v>15488043.5566644</v>
      </c>
      <c r="F8" s="25" t="n">
        <f aca="false">SUM(F4:F7)</f>
        <v>15797804.4277977</v>
      </c>
      <c r="G8" s="25" t="n">
        <f aca="false">SUM(G4:G7)</f>
        <v>16113760.5163537</v>
      </c>
      <c r="H8" s="25" t="n">
        <f aca="false">SUM(H4:H7)</f>
        <v>16436035.7266808</v>
      </c>
      <c r="I8" s="25" t="n">
        <f aca="false">SUM(I4:I7)</f>
        <v>16764756.4412144</v>
      </c>
      <c r="J8" s="25" t="n">
        <f aca="false">SUM(J4:J7)</f>
        <v>17100051.5700387</v>
      </c>
      <c r="K8" s="25" t="n">
        <f aca="false">SUM(K4:K7)</f>
        <v>17442052.6014394</v>
      </c>
      <c r="L8" s="25" t="n">
        <f aca="false">SUM(L4:L7)</f>
        <v>17790893.6534682</v>
      </c>
      <c r="M8" s="25" t="n">
        <f aca="false">SUM(M4:M7)</f>
        <v>18146711.5265376</v>
      </c>
      <c r="N8" s="25" t="n">
        <f aca="false">SUM(N4:N7)</f>
        <v>18509645.7570684</v>
      </c>
      <c r="O8" s="25" t="n">
        <f aca="false">SUM(O4:O7)</f>
        <v>18879838.6722097</v>
      </c>
      <c r="P8" s="25" t="n">
        <f aca="false">SUM(P4:P7)</f>
        <v>19257435.4456539</v>
      </c>
      <c r="Q8" s="25" t="n">
        <f aca="false">SUM(Q4:Q7)</f>
        <v>19642584.154567</v>
      </c>
    </row>
    <row r="9" customFormat="false" ht="15" hidden="false" customHeight="true" outlineLevel="0" collapsed="false">
      <c r="B9" s="24" t="s">
        <v>820</v>
      </c>
      <c r="C9" s="42" t="n">
        <f aca="false">-OPEX!C11</f>
        <v>-4279857.51303895</v>
      </c>
      <c r="D9" s="42" t="n">
        <f aca="false">-OPEX!D11</f>
        <v>-5231206.25900681</v>
      </c>
      <c r="E9" s="42" t="n">
        <f aca="false">-OPEX!E11</f>
        <v>-6218897.01180817</v>
      </c>
      <c r="F9" s="42" t="n">
        <f aca="false">-OPEX!F11</f>
        <v>-6343274.95204434</v>
      </c>
      <c r="G9" s="42" t="n">
        <f aca="false">-OPEX!G11</f>
        <v>-6470140.45108522</v>
      </c>
      <c r="H9" s="42" t="n">
        <f aca="false">-OPEX!H11</f>
        <v>-6599543.26010693</v>
      </c>
      <c r="I9" s="42" t="n">
        <f aca="false">-OPEX!I11</f>
        <v>-6731534.12530907</v>
      </c>
      <c r="J9" s="42" t="n">
        <f aca="false">-OPEX!J11</f>
        <v>-6866164.80781525</v>
      </c>
      <c r="K9" s="42" t="n">
        <f aca="false">-OPEX!K11</f>
        <v>-7003488.10397155</v>
      </c>
      <c r="L9" s="42" t="n">
        <f aca="false">-OPEX!L11</f>
        <v>-7143557.86605099</v>
      </c>
      <c r="M9" s="42" t="n">
        <f aca="false">-OPEX!M11</f>
        <v>-7286429.023372</v>
      </c>
      <c r="N9" s="42" t="n">
        <f aca="false">-OPEX!N11</f>
        <v>-7432157.60383944</v>
      </c>
      <c r="O9" s="42" t="n">
        <f aca="false">-OPEX!O11</f>
        <v>-7580800.75591623</v>
      </c>
      <c r="P9" s="42" t="n">
        <f aca="false">-OPEX!P11</f>
        <v>-7732416.77103456</v>
      </c>
      <c r="Q9" s="42" t="n">
        <f aca="false">-OPEX!Q11</f>
        <v>-7887065.10645525</v>
      </c>
    </row>
    <row r="10" customFormat="false" ht="15" hidden="false" customHeight="true" outlineLevel="0" collapsed="false">
      <c r="B10" s="50" t="s">
        <v>821</v>
      </c>
      <c r="C10" s="51" t="n">
        <f aca="false">C8+C9</f>
        <v>6140779.25134505</v>
      </c>
      <c r="D10" s="51" t="n">
        <f aca="false">D8+D9</f>
        <v>7675496.70488023</v>
      </c>
      <c r="E10" s="51" t="n">
        <f aca="false">E8+E9</f>
        <v>9269146.54485628</v>
      </c>
      <c r="F10" s="51" t="n">
        <f aca="false">F8+F9</f>
        <v>9454529.4757534</v>
      </c>
      <c r="G10" s="51" t="n">
        <f aca="false">G8+G9</f>
        <v>9643620.06526847</v>
      </c>
      <c r="H10" s="51" t="n">
        <f aca="false">H8+H9</f>
        <v>9836492.46657384</v>
      </c>
      <c r="I10" s="51" t="n">
        <f aca="false">I8+I9</f>
        <v>10033222.3159053</v>
      </c>
      <c r="J10" s="51" t="n">
        <f aca="false">J8+J9</f>
        <v>10233886.7622234</v>
      </c>
      <c r="K10" s="51" t="n">
        <f aca="false">K8+K9</f>
        <v>10438564.4974679</v>
      </c>
      <c r="L10" s="51" t="n">
        <f aca="false">L8+L9</f>
        <v>10647335.7874172</v>
      </c>
      <c r="M10" s="51" t="n">
        <f aca="false">M8+M9</f>
        <v>10860282.5031656</v>
      </c>
      <c r="N10" s="51" t="n">
        <f aca="false">N8+N9</f>
        <v>11077488.1532289</v>
      </c>
      <c r="O10" s="51" t="n">
        <f aca="false">O8+O9</f>
        <v>11299037.9162935</v>
      </c>
      <c r="P10" s="51" t="n">
        <f aca="false">P8+P9</f>
        <v>11525018.6746194</v>
      </c>
      <c r="Q10" s="51" t="n">
        <f aca="false">Q8+Q9</f>
        <v>11755519.0481117</v>
      </c>
    </row>
    <row r="12" customFormat="false" ht="15" hidden="false" customHeight="true" outlineLevel="0" collapsed="false">
      <c r="B12" s="39" t="s">
        <v>822</v>
      </c>
      <c r="C12" s="42" t="n">
        <f aca="false">CAPEX!C12</f>
        <v>57900000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17" min="3" style="1" width="14"/>
  </cols>
  <sheetData>
    <row r="1" customFormat="false" ht="15.75" hidden="false" customHeight="true" outlineLevel="0" collapsed="false">
      <c r="A1" s="2" t="s">
        <v>823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C3" s="53" t="s">
        <v>733</v>
      </c>
      <c r="D3" s="53" t="s">
        <v>734</v>
      </c>
      <c r="E3" s="53" t="s">
        <v>735</v>
      </c>
      <c r="F3" s="53" t="s">
        <v>736</v>
      </c>
      <c r="G3" s="53" t="s">
        <v>737</v>
      </c>
      <c r="H3" s="53" t="s">
        <v>738</v>
      </c>
      <c r="I3" s="53" t="s">
        <v>739</v>
      </c>
      <c r="J3" s="53" t="s">
        <v>740</v>
      </c>
      <c r="K3" s="53" t="s">
        <v>741</v>
      </c>
      <c r="L3" s="53" t="s">
        <v>742</v>
      </c>
      <c r="M3" s="53" t="s">
        <v>743</v>
      </c>
      <c r="N3" s="53" t="s">
        <v>744</v>
      </c>
      <c r="O3" s="53" t="s">
        <v>745</v>
      </c>
      <c r="P3" s="53" t="s">
        <v>746</v>
      </c>
      <c r="Q3" s="53" t="s">
        <v>747</v>
      </c>
    </row>
    <row r="4" customFormat="false" ht="15" hidden="false" customHeight="true" outlineLevel="0" collapsed="false">
      <c r="B4" s="24" t="s">
        <v>824</v>
      </c>
      <c r="C4" s="42" t="n">
        <f aca="false">IF('3-Operations'!$C$7=1,Revenue!C20*'2-Financial Inputs'!$C$52*(1+'2-Financial Inputs'!$C$11)^0,0)</f>
        <v>63703.332</v>
      </c>
      <c r="D4" s="42" t="n">
        <f aca="false">IF('3-Operations'!$C$7=1,Revenue!D20*'2-Financial Inputs'!$C$52*(1+'2-Financial Inputs'!$C$11)^1,0)</f>
        <v>78901.12692</v>
      </c>
      <c r="E4" s="42" t="n">
        <f aca="false">IF('3-Operations'!$C$7=1,Revenue!E20*'2-Financial Inputs'!$C$52*(1+'2-Financial Inputs'!$C$11)^2,0)</f>
        <v>94681.352304</v>
      </c>
      <c r="F4" s="42" t="n">
        <f aca="false">IF('3-Operations'!$C$7=1,Revenue!F20*'2-Financial Inputs'!$C$52*(1+'2-Financial Inputs'!$C$11)^3,0)</f>
        <v>96574.97935008</v>
      </c>
      <c r="G4" s="42" t="n">
        <f aca="false">IF('3-Operations'!$C$7=1,Revenue!G20*'2-Financial Inputs'!$C$52*(1+'2-Financial Inputs'!$C$11)^4,0)</f>
        <v>98506.4789370816</v>
      </c>
      <c r="H4" s="42" t="n">
        <f aca="false">IF('3-Operations'!$C$7=1,Revenue!H20*'2-Financial Inputs'!$C$52*(1+'2-Financial Inputs'!$C$11)^5,0)</f>
        <v>100476.608515823</v>
      </c>
      <c r="I4" s="42" t="n">
        <f aca="false">IF('3-Operations'!$C$7=1,Revenue!I20*'2-Financial Inputs'!$C$52*(1+'2-Financial Inputs'!$C$11)^6,0)</f>
        <v>102486.14068614</v>
      </c>
      <c r="J4" s="42" t="n">
        <f aca="false">IF('3-Operations'!$C$7=1,Revenue!J20*'2-Financial Inputs'!$C$52*(1+'2-Financial Inputs'!$C$11)^7,0)</f>
        <v>104535.863499862</v>
      </c>
      <c r="K4" s="42" t="n">
        <f aca="false">IF('3-Operations'!$C$7=1,Revenue!K20*'2-Financial Inputs'!$C$52*(1+'2-Financial Inputs'!$C$11)^8,0)</f>
        <v>106626.58076986</v>
      </c>
      <c r="L4" s="42" t="n">
        <f aca="false">IF('3-Operations'!$C$7=1,Revenue!L20*'2-Financial Inputs'!$C$52*(1+'2-Financial Inputs'!$C$11)^9,0)</f>
        <v>108759.112385257</v>
      </c>
      <c r="M4" s="42" t="n">
        <f aca="false">IF('3-Operations'!$C$7=1,Revenue!M20*'2-Financial Inputs'!$C$52*(1+'2-Financial Inputs'!$C$11)^10,0)</f>
        <v>110934.294632962</v>
      </c>
      <c r="N4" s="42" t="n">
        <f aca="false">IF('3-Operations'!$C$7=1,Revenue!N20*'2-Financial Inputs'!$C$52*(1+'2-Financial Inputs'!$C$11)^11,0)</f>
        <v>113152.980525621</v>
      </c>
      <c r="O4" s="42" t="n">
        <f aca="false">IF('3-Operations'!$C$7=1,Revenue!O20*'2-Financial Inputs'!$C$52*(1+'2-Financial Inputs'!$C$11)^12,0)</f>
        <v>115416.040136134</v>
      </c>
      <c r="P4" s="42" t="n">
        <f aca="false">IF('3-Operations'!$C$7=1,Revenue!P20*'2-Financial Inputs'!$C$52*(1+'2-Financial Inputs'!$C$11)^13,0)</f>
        <v>117724.360938856</v>
      </c>
      <c r="Q4" s="42" t="n">
        <f aca="false">IF('3-Operations'!$C$7=1,Revenue!Q20*'2-Financial Inputs'!$C$52*(1+'2-Financial Inputs'!$C$11)^14,0)</f>
        <v>120078.848157634</v>
      </c>
    </row>
    <row r="5" customFormat="false" ht="15" hidden="false" customHeight="true" outlineLevel="0" collapsed="false">
      <c r="B5" s="24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customFormat="false" ht="15" hidden="false" customHeight="true" outlineLevel="0" collapsed="false">
      <c r="B6" s="39" t="s">
        <v>825</v>
      </c>
      <c r="C6" s="25" t="n">
        <f aca="false">C4</f>
        <v>63703.332</v>
      </c>
      <c r="D6" s="25" t="n">
        <f aca="false">D4</f>
        <v>78901.12692</v>
      </c>
      <c r="E6" s="25" t="n">
        <f aca="false">E4</f>
        <v>94681.352304</v>
      </c>
      <c r="F6" s="25" t="n">
        <f aca="false">F4</f>
        <v>96574.97935008</v>
      </c>
      <c r="G6" s="25" t="n">
        <f aca="false">G4</f>
        <v>98506.4789370816</v>
      </c>
      <c r="H6" s="25" t="n">
        <f aca="false">H4</f>
        <v>100476.608515823</v>
      </c>
      <c r="I6" s="25" t="n">
        <f aca="false">I4</f>
        <v>102486.14068614</v>
      </c>
      <c r="J6" s="25" t="n">
        <f aca="false">J4</f>
        <v>104535.863499862</v>
      </c>
      <c r="K6" s="25" t="n">
        <f aca="false">K4</f>
        <v>106626.58076986</v>
      </c>
      <c r="L6" s="25" t="n">
        <f aca="false">L4</f>
        <v>108759.112385257</v>
      </c>
      <c r="M6" s="25" t="n">
        <f aca="false">M4</f>
        <v>110934.294632962</v>
      </c>
      <c r="N6" s="25" t="n">
        <f aca="false">N4</f>
        <v>113152.980525621</v>
      </c>
      <c r="O6" s="25" t="n">
        <f aca="false">O4</f>
        <v>115416.040136134</v>
      </c>
      <c r="P6" s="25" t="n">
        <f aca="false">P4</f>
        <v>117724.360938856</v>
      </c>
      <c r="Q6" s="25" t="n">
        <f aca="false">Q4</f>
        <v>120078.848157634</v>
      </c>
    </row>
    <row r="7" customFormat="false" ht="15" hidden="false" customHeight="true" outlineLevel="0" collapsed="false">
      <c r="B7" s="24" t="s">
        <v>826</v>
      </c>
      <c r="C7" s="42" t="n">
        <f aca="false">-OPEX!C21</f>
        <v>-129640</v>
      </c>
      <c r="D7" s="42" t="n">
        <f aca="false">-OPEX!D21</f>
        <v>-160568.4</v>
      </c>
      <c r="E7" s="42" t="n">
        <f aca="false">-OPEX!E21</f>
        <v>-192682.08</v>
      </c>
      <c r="F7" s="42" t="n">
        <f aca="false">-OPEX!F21</f>
        <v>-196535.7216</v>
      </c>
      <c r="G7" s="42" t="n">
        <f aca="false">-OPEX!G21</f>
        <v>-200466.436032</v>
      </c>
      <c r="H7" s="42" t="n">
        <f aca="false">-OPEX!H21</f>
        <v>-204475.76475264</v>
      </c>
      <c r="I7" s="42" t="n">
        <f aca="false">-OPEX!I21</f>
        <v>-208565.280047693</v>
      </c>
      <c r="J7" s="42" t="n">
        <f aca="false">-OPEX!J21</f>
        <v>-212736.585648647</v>
      </c>
      <c r="K7" s="42" t="n">
        <f aca="false">-OPEX!K21</f>
        <v>-216991.31736162</v>
      </c>
      <c r="L7" s="42" t="n">
        <f aca="false">-OPEX!L21</f>
        <v>-221331.143708852</v>
      </c>
      <c r="M7" s="42" t="n">
        <f aca="false">-OPEX!M21</f>
        <v>-225757.766583029</v>
      </c>
      <c r="N7" s="42" t="n">
        <f aca="false">-OPEX!N21</f>
        <v>-230272.92191469</v>
      </c>
      <c r="O7" s="42" t="n">
        <f aca="false">-OPEX!O21</f>
        <v>-234878.380352983</v>
      </c>
      <c r="P7" s="42" t="n">
        <f aca="false">-OPEX!P21</f>
        <v>-239575.947960043</v>
      </c>
      <c r="Q7" s="42" t="n">
        <f aca="false">-OPEX!Q21</f>
        <v>-244367.466919244</v>
      </c>
    </row>
    <row r="8" customFormat="false" ht="15" hidden="false" customHeight="true" outlineLevel="0" collapsed="false">
      <c r="B8" s="50" t="s">
        <v>827</v>
      </c>
      <c r="C8" s="51" t="n">
        <f aca="false">C6+C7</f>
        <v>-65936.668</v>
      </c>
      <c r="D8" s="51" t="n">
        <f aca="false">D6+D7</f>
        <v>-81667.27308</v>
      </c>
      <c r="E8" s="51" t="n">
        <f aca="false">E6+E7</f>
        <v>-98000.727696</v>
      </c>
      <c r="F8" s="51" t="n">
        <f aca="false">F6+F7</f>
        <v>-99960.74224992</v>
      </c>
      <c r="G8" s="51" t="n">
        <f aca="false">G6+G7</f>
        <v>-101959.957094918</v>
      </c>
      <c r="H8" s="51" t="n">
        <f aca="false">H6+H7</f>
        <v>-103999.156236817</v>
      </c>
      <c r="I8" s="51" t="n">
        <f aca="false">I6+I7</f>
        <v>-106079.139361553</v>
      </c>
      <c r="J8" s="51" t="n">
        <f aca="false">J6+J7</f>
        <v>-108200.722148784</v>
      </c>
      <c r="K8" s="51" t="n">
        <f aca="false">K6+K7</f>
        <v>-110364.73659176</v>
      </c>
      <c r="L8" s="51" t="n">
        <f aca="false">L6+L7</f>
        <v>-112572.031323595</v>
      </c>
      <c r="M8" s="51" t="n">
        <f aca="false">M6+M7</f>
        <v>-114823.471950067</v>
      </c>
      <c r="N8" s="51" t="n">
        <f aca="false">N6+N7</f>
        <v>-117119.941389068</v>
      </c>
      <c r="O8" s="51" t="n">
        <f aca="false">O6+O7</f>
        <v>-119462.34021685</v>
      </c>
      <c r="P8" s="51" t="n">
        <f aca="false">P6+P7</f>
        <v>-121851.587021187</v>
      </c>
      <c r="Q8" s="51" t="n">
        <f aca="false">Q6+Q7</f>
        <v>-124288.61876161</v>
      </c>
    </row>
    <row r="10" customFormat="false" ht="15" hidden="false" customHeight="true" outlineLevel="0" collapsed="false">
      <c r="B10" s="39" t="s">
        <v>828</v>
      </c>
      <c r="C10" s="42" t="n">
        <f aca="false">CAPEX!C29</f>
        <v>430000</v>
      </c>
    </row>
    <row r="11" customFormat="false" ht="15" hidden="false" customHeight="true" outlineLevel="0" collapsed="false">
      <c r="B11" s="39" t="s">
        <v>817</v>
      </c>
      <c r="C11" s="54" t="n">
        <f aca="false">IF(E8&gt;0,C10/E8,0)</f>
        <v>0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17" min="3" style="1" width="14"/>
  </cols>
  <sheetData>
    <row r="1" customFormat="false" ht="15.75" hidden="false" customHeight="true" outlineLevel="0" collapsed="false">
      <c r="A1" s="2" t="s">
        <v>829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C3" s="53" t="s">
        <v>733</v>
      </c>
      <c r="D3" s="53" t="s">
        <v>734</v>
      </c>
      <c r="E3" s="53" t="s">
        <v>735</v>
      </c>
      <c r="F3" s="53" t="s">
        <v>736</v>
      </c>
      <c r="G3" s="53" t="s">
        <v>737</v>
      </c>
      <c r="H3" s="53" t="s">
        <v>738</v>
      </c>
      <c r="I3" s="53" t="s">
        <v>739</v>
      </c>
      <c r="J3" s="53" t="s">
        <v>740</v>
      </c>
      <c r="K3" s="53" t="s">
        <v>741</v>
      </c>
      <c r="L3" s="53" t="s">
        <v>742</v>
      </c>
      <c r="M3" s="53" t="s">
        <v>743</v>
      </c>
      <c r="N3" s="53" t="s">
        <v>744</v>
      </c>
      <c r="O3" s="53" t="s">
        <v>745</v>
      </c>
      <c r="P3" s="53" t="s">
        <v>746</v>
      </c>
      <c r="Q3" s="53" t="s">
        <v>747</v>
      </c>
    </row>
    <row r="4" customFormat="false" ht="15" hidden="false" customHeight="true" outlineLevel="0" collapsed="false">
      <c r="B4" s="24" t="s">
        <v>830</v>
      </c>
      <c r="C4" s="42" t="n">
        <f aca="false">'P&amp;L Consolidated'!C13</f>
        <v>-3745402.13848328</v>
      </c>
      <c r="D4" s="42" t="n">
        <f aca="false">'P&amp;L Consolidated'!D13</f>
        <v>-1971374.02306451</v>
      </c>
      <c r="E4" s="42" t="n">
        <f aca="false">'P&amp;L Consolidated'!E13</f>
        <v>-104306.764906568</v>
      </c>
      <c r="F4" s="42" t="n">
        <f aca="false">'P&amp;L Consolidated'!F13</f>
        <v>341863.493833109</v>
      </c>
      <c r="G4" s="42" t="n">
        <f aca="false">'P&amp;L Consolidated'!G13</f>
        <v>799081.198487224</v>
      </c>
      <c r="H4" s="42" t="n">
        <f aca="false">'P&amp;L Consolidated'!H13</f>
        <v>1297612.19492015</v>
      </c>
      <c r="I4" s="42" t="n">
        <f aca="false">'P&amp;L Consolidated'!I13</f>
        <v>1842143.02148975</v>
      </c>
      <c r="J4" s="42" t="n">
        <f aca="false">'P&amp;L Consolidated'!J13</f>
        <v>2437917.18002372</v>
      </c>
      <c r="K4" s="42" t="n">
        <f aca="false">'P&amp;L Consolidated'!K13</f>
        <v>3090801.8630133</v>
      </c>
      <c r="L4" s="42" t="n">
        <f aca="false">'P&amp;L Consolidated'!L13</f>
        <v>3807362.6859018</v>
      </c>
      <c r="M4" s="42" t="n">
        <f aca="false">'P&amp;L Consolidated'!M13</f>
        <v>4594947.38503588</v>
      </c>
      <c r="N4" s="42" t="n">
        <f aca="false">'P&amp;L Consolidated'!N13</f>
        <v>4750626.8327366</v>
      </c>
      <c r="O4" s="42" t="n">
        <f aca="false">'P&amp;L Consolidated'!O13</f>
        <v>4909419.86939133</v>
      </c>
      <c r="P4" s="42" t="n">
        <f aca="false">'P&amp;L Consolidated'!P13</f>
        <v>5071388.76677916</v>
      </c>
      <c r="Q4" s="42" t="n">
        <f aca="false">'P&amp;L Consolidated'!Q13</f>
        <v>5236597.04211474</v>
      </c>
    </row>
    <row r="5" customFormat="false" ht="15" hidden="false" customHeight="true" outlineLevel="0" collapsed="false">
      <c r="B5" s="24" t="s">
        <v>831</v>
      </c>
      <c r="C5" s="42" t="n">
        <f aca="false">CAPEX!$C$48</f>
        <v>4252033.33333333</v>
      </c>
      <c r="D5" s="42" t="n">
        <f aca="false">CAPEX!$C$48</f>
        <v>4252033.33333333</v>
      </c>
      <c r="E5" s="42" t="n">
        <f aca="false">CAPEX!$C$48</f>
        <v>4252033.33333333</v>
      </c>
      <c r="F5" s="42" t="n">
        <f aca="false">CAPEX!$C$48</f>
        <v>4252033.33333333</v>
      </c>
      <c r="G5" s="42" t="n">
        <f aca="false">CAPEX!$C$48</f>
        <v>4252033.33333333</v>
      </c>
      <c r="H5" s="42" t="n">
        <f aca="false">CAPEX!$C$48</f>
        <v>4252033.33333333</v>
      </c>
      <c r="I5" s="42" t="n">
        <f aca="false">CAPEX!$C$48</f>
        <v>4252033.33333333</v>
      </c>
      <c r="J5" s="42" t="n">
        <f aca="false">CAPEX!$C$48</f>
        <v>4252033.33333333</v>
      </c>
      <c r="K5" s="42" t="n">
        <f aca="false">CAPEX!$C$48</f>
        <v>4252033.33333333</v>
      </c>
      <c r="L5" s="42" t="n">
        <f aca="false">CAPEX!$C$48</f>
        <v>4252033.33333333</v>
      </c>
      <c r="M5" s="42" t="n">
        <f aca="false">CAPEX!$C$48</f>
        <v>4252033.33333333</v>
      </c>
      <c r="N5" s="42" t="n">
        <f aca="false">CAPEX!$C$48</f>
        <v>4252033.33333333</v>
      </c>
      <c r="O5" s="42" t="n">
        <f aca="false">CAPEX!$C$48</f>
        <v>4252033.33333333</v>
      </c>
      <c r="P5" s="42" t="n">
        <f aca="false">CAPEX!$C$48</f>
        <v>4252033.33333333</v>
      </c>
      <c r="Q5" s="42" t="n">
        <f aca="false">CAPEX!$C$48</f>
        <v>4252033.33333333</v>
      </c>
    </row>
    <row r="6" customFormat="false" ht="15" hidden="false" customHeight="true" outlineLevel="0" collapsed="false">
      <c r="B6" s="24" t="s">
        <v>832</v>
      </c>
      <c r="C6" s="42" t="n">
        <f aca="false">-Revenue!C33*'2-Financial Inputs'!$C$13</f>
        <v>-542537.6552442</v>
      </c>
      <c r="D6" s="42" t="n">
        <f aca="false">-(Revenue!D33-Revenue!C33)*'2-Financial Inputs'!$C$13</f>
        <v>-129433.983465402</v>
      </c>
      <c r="E6" s="42" t="n">
        <f aca="false">-(Revenue!E33-Revenue!D33)*'2-Financial Inputs'!$C$13</f>
        <v>-134394.32774192</v>
      </c>
      <c r="F6" s="42" t="n">
        <f aca="false">-(Revenue!F33-Revenue!E33)*'2-Financial Inputs'!$C$13</f>
        <v>-16127.3193290308</v>
      </c>
      <c r="G6" s="42" t="n">
        <f aca="false">-(Revenue!G33-Revenue!F33)*'2-Financial Inputs'!$C$13</f>
        <v>-16449.8657156108</v>
      </c>
      <c r="H6" s="42" t="n">
        <f aca="false">-(Revenue!H33-Revenue!G33)*'2-Financial Inputs'!$C$13</f>
        <v>-16778.8630299233</v>
      </c>
      <c r="I6" s="42" t="n">
        <f aca="false">-(Revenue!I33-Revenue!H33)*'2-Financial Inputs'!$C$13</f>
        <v>-17114.4402905218</v>
      </c>
      <c r="J6" s="42" t="n">
        <f aca="false">-(Revenue!J33-Revenue!I33)*'2-Financial Inputs'!$C$13</f>
        <v>-17456.729096332</v>
      </c>
      <c r="K6" s="42" t="n">
        <f aca="false">-(Revenue!K33-Revenue!J33)*'2-Financial Inputs'!$C$13</f>
        <v>-17805.863678259</v>
      </c>
      <c r="L6" s="42" t="n">
        <f aca="false">-(Revenue!L33-Revenue!K33)*'2-Financial Inputs'!$C$13</f>
        <v>-18161.980951824</v>
      </c>
      <c r="M6" s="42" t="n">
        <f aca="false">-(Revenue!M33-Revenue!L33)*'2-Financial Inputs'!$C$13</f>
        <v>-18525.2205708602</v>
      </c>
      <c r="N6" s="42" t="n">
        <f aca="false">-(Revenue!N33-Revenue!M33)*'2-Financial Inputs'!$C$13</f>
        <v>-18895.7249822779</v>
      </c>
      <c r="O6" s="42" t="n">
        <f aca="false">-(Revenue!O33-Revenue!N33)*'2-Financial Inputs'!$C$13</f>
        <v>-19273.6394819234</v>
      </c>
      <c r="P6" s="42" t="n">
        <f aca="false">-(Revenue!P33-Revenue!O33)*'2-Financial Inputs'!$C$13</f>
        <v>-19659.1122715615</v>
      </c>
      <c r="Q6" s="42" t="n">
        <f aca="false">-(Revenue!Q33-Revenue!P33)*'2-Financial Inputs'!$C$13</f>
        <v>-20052.2945169931</v>
      </c>
    </row>
    <row r="7" customFormat="false" ht="15" hidden="false" customHeight="true" outlineLevel="0" collapsed="false">
      <c r="B7" s="39" t="s">
        <v>833</v>
      </c>
      <c r="C7" s="25" t="n">
        <f aca="false">C4+C5+C6</f>
        <v>-35906.4603941491</v>
      </c>
      <c r="D7" s="25" t="n">
        <f aca="false">D4+D5+D6</f>
        <v>2151225.32680342</v>
      </c>
      <c r="E7" s="25" t="n">
        <f aca="false">E4+E5+E6</f>
        <v>4013332.24068485</v>
      </c>
      <c r="F7" s="25" t="n">
        <f aca="false">F4+F5+F6</f>
        <v>4577769.50783741</v>
      </c>
      <c r="G7" s="25" t="n">
        <f aca="false">G4+G5+G6</f>
        <v>5034664.66610495</v>
      </c>
      <c r="H7" s="25" t="n">
        <f aca="false">H4+H5+H6</f>
        <v>5532866.66522356</v>
      </c>
      <c r="I7" s="25" t="n">
        <f aca="false">I4+I5+I6</f>
        <v>6077061.91453256</v>
      </c>
      <c r="J7" s="25" t="n">
        <f aca="false">J4+J5+J6</f>
        <v>6672493.78426072</v>
      </c>
      <c r="K7" s="25" t="n">
        <f aca="false">K4+K5+K6</f>
        <v>7325029.33266837</v>
      </c>
      <c r="L7" s="25" t="n">
        <f aca="false">L4+L5+L6</f>
        <v>8041234.0382833</v>
      </c>
      <c r="M7" s="25" t="n">
        <f aca="false">M4+M5+M6</f>
        <v>8828455.49779835</v>
      </c>
      <c r="N7" s="25" t="n">
        <f aca="false">N4+N5+N6</f>
        <v>8983764.44108765</v>
      </c>
      <c r="O7" s="25" t="n">
        <f aca="false">O4+O5+O6</f>
        <v>9142179.56324274</v>
      </c>
      <c r="P7" s="25" t="n">
        <f aca="false">P4+P5+P6</f>
        <v>9303762.98784093</v>
      </c>
      <c r="Q7" s="25" t="n">
        <f aca="false">Q4+Q5+Q6</f>
        <v>9468578.08093108</v>
      </c>
    </row>
    <row r="8" customFormat="false" ht="15" hidden="false" customHeight="true" outlineLevel="0" collapsed="false">
      <c r="B8" s="24" t="s">
        <v>834</v>
      </c>
      <c r="C8" s="42" t="n">
        <f aca="false">-Amortization!E6</f>
        <v>-2544134.93753785</v>
      </c>
      <c r="D8" s="42" t="n">
        <f aca="false">-Amortization!E7</f>
        <v>-2849431.1300424</v>
      </c>
      <c r="E8" s="42" t="n">
        <f aca="false">-Amortization!E8</f>
        <v>-3191362.86564748</v>
      </c>
      <c r="F8" s="42" t="n">
        <f aca="false">-Amortization!E9</f>
        <v>-3574326.40952518</v>
      </c>
      <c r="G8" s="42" t="n">
        <f aca="false">-Amortization!E10</f>
        <v>-4003245.5786682</v>
      </c>
      <c r="H8" s="42" t="n">
        <f aca="false">-Amortization!E11</f>
        <v>-4483635.04810839</v>
      </c>
      <c r="I8" s="42" t="n">
        <f aca="false">-Amortization!E12</f>
        <v>-5021671.2538814</v>
      </c>
      <c r="J8" s="42" t="n">
        <f aca="false">-Amortization!E13</f>
        <v>-5624271.80434716</v>
      </c>
      <c r="K8" s="42" t="n">
        <f aca="false">-Amortization!E14</f>
        <v>-6299184.42086882</v>
      </c>
      <c r="L8" s="42" t="n">
        <f aca="false">-Amortization!E15</f>
        <v>-7055086.55137308</v>
      </c>
      <c r="M8" s="25" t="n">
        <v>0</v>
      </c>
      <c r="N8" s="25" t="n">
        <v>0</v>
      </c>
      <c r="O8" s="25" t="n">
        <v>0</v>
      </c>
      <c r="P8" s="25" t="n">
        <v>0</v>
      </c>
      <c r="Q8" s="25" t="n">
        <v>0</v>
      </c>
    </row>
    <row r="9" customFormat="false" ht="15" hidden="false" customHeight="true" outlineLevel="0" collapsed="false">
      <c r="B9" s="50" t="s">
        <v>835</v>
      </c>
      <c r="C9" s="51" t="n">
        <f aca="false">C7+C8</f>
        <v>-2580041.397932</v>
      </c>
      <c r="D9" s="51" t="n">
        <f aca="false">D7+D8</f>
        <v>-698205.803238976</v>
      </c>
      <c r="E9" s="51" t="n">
        <f aca="false">E7+E8</f>
        <v>821969.375037361</v>
      </c>
      <c r="F9" s="51" t="n">
        <f aca="false">F7+F8</f>
        <v>1003443.09831223</v>
      </c>
      <c r="G9" s="51" t="n">
        <f aca="false">G7+G8</f>
        <v>1031419.08743674</v>
      </c>
      <c r="H9" s="51" t="n">
        <f aca="false">H7+H8</f>
        <v>1049231.61711517</v>
      </c>
      <c r="I9" s="51" t="n">
        <f aca="false">I7+I8</f>
        <v>1055390.66065117</v>
      </c>
      <c r="J9" s="51" t="n">
        <f aca="false">J7+J8</f>
        <v>1048221.97991356</v>
      </c>
      <c r="K9" s="51" t="n">
        <f aca="false">K7+K8</f>
        <v>1025844.91179955</v>
      </c>
      <c r="L9" s="51" t="n">
        <f aca="false">L7+L8</f>
        <v>986147.486910223</v>
      </c>
      <c r="M9" s="51" t="n">
        <f aca="false">M7+M8</f>
        <v>8828455.49779835</v>
      </c>
      <c r="N9" s="51" t="n">
        <f aca="false">N7+N8</f>
        <v>8983764.44108765</v>
      </c>
      <c r="O9" s="51" t="n">
        <f aca="false">O7+O8</f>
        <v>9142179.56324274</v>
      </c>
      <c r="P9" s="51" t="n">
        <f aca="false">P7+P8</f>
        <v>9303762.98784093</v>
      </c>
      <c r="Q9" s="51" t="n">
        <f aca="false">Q7+Q8</f>
        <v>9468578.08093108</v>
      </c>
    </row>
    <row r="10" customFormat="false" ht="15" hidden="false" customHeight="true" outlineLevel="0" collapsed="false">
      <c r="B10" s="39" t="s">
        <v>836</v>
      </c>
      <c r="C10" s="25" t="n">
        <f aca="false">C9</f>
        <v>-2580041.397932</v>
      </c>
      <c r="D10" s="25" t="n">
        <f aca="false">C10+D9</f>
        <v>-3278247.20117098</v>
      </c>
      <c r="E10" s="25" t="n">
        <f aca="false">D10+E9</f>
        <v>-2456277.82613362</v>
      </c>
      <c r="F10" s="25" t="n">
        <f aca="false">E10+F9</f>
        <v>-1452834.72782139</v>
      </c>
      <c r="G10" s="25" t="n">
        <f aca="false">F10+G9</f>
        <v>-421415.640384648</v>
      </c>
      <c r="H10" s="25" t="n">
        <f aca="false">G10+H9</f>
        <v>627815.976730524</v>
      </c>
      <c r="I10" s="25" t="n">
        <f aca="false">H10+I9</f>
        <v>1683206.63738169</v>
      </c>
      <c r="J10" s="25" t="n">
        <f aca="false">I10+J9</f>
        <v>2731428.61729525</v>
      </c>
      <c r="K10" s="25" t="n">
        <f aca="false">J10+K9</f>
        <v>3757273.5290948</v>
      </c>
      <c r="L10" s="25" t="n">
        <f aca="false">K10+L9</f>
        <v>4743421.01600502</v>
      </c>
      <c r="M10" s="25" t="n">
        <f aca="false">L10+M9</f>
        <v>13571876.5138034</v>
      </c>
      <c r="N10" s="25" t="n">
        <f aca="false">M10+N9</f>
        <v>22555640.954891</v>
      </c>
      <c r="O10" s="25" t="n">
        <f aca="false">N10+O9</f>
        <v>31697820.5181338</v>
      </c>
      <c r="P10" s="25" t="n">
        <f aca="false">O10+P9</f>
        <v>41001583.5059747</v>
      </c>
      <c r="Q10" s="25" t="n">
        <f aca="false">P10+Q9</f>
        <v>50470161.5869058</v>
      </c>
    </row>
    <row r="12" customFormat="false" ht="15" hidden="false" customHeight="true" outlineLevel="0" collapsed="false">
      <c r="B12" s="39" t="s">
        <v>837</v>
      </c>
      <c r="C12" s="42" t="n">
        <f aca="false">-CAPEX!C47</f>
        <v>-19134150</v>
      </c>
    </row>
    <row r="13" customFormat="false" ht="15" hidden="false" customHeight="true" outlineLevel="0" collapsed="false">
      <c r="B13" s="39" t="s">
        <v>838</v>
      </c>
      <c r="C13" s="25" t="n">
        <f aca="false">C10+$C$12</f>
        <v>-21714191.397932</v>
      </c>
      <c r="D13" s="25" t="n">
        <f aca="false">D10+$C$12</f>
        <v>-22412397.201171</v>
      </c>
      <c r="E13" s="25" t="n">
        <f aca="false">E10+$C$12</f>
        <v>-21590427.8261336</v>
      </c>
      <c r="F13" s="25" t="n">
        <f aca="false">F10+$C$12</f>
        <v>-20586984.7278214</v>
      </c>
      <c r="G13" s="25" t="n">
        <f aca="false">G10+$C$12</f>
        <v>-19555565.6403846</v>
      </c>
      <c r="H13" s="25" t="n">
        <f aca="false">H10+$C$12</f>
        <v>-18506334.0232695</v>
      </c>
      <c r="I13" s="25" t="n">
        <f aca="false">I10+$C$12</f>
        <v>-17450943.3626183</v>
      </c>
      <c r="J13" s="25" t="n">
        <f aca="false">J10+$C$12</f>
        <v>-16402721.3827048</v>
      </c>
      <c r="K13" s="25" t="n">
        <f aca="false">K10+$C$12</f>
        <v>-15376876.4709052</v>
      </c>
      <c r="L13" s="25" t="n">
        <f aca="false">L10+$C$12</f>
        <v>-14390728.983995</v>
      </c>
      <c r="M13" s="25" t="n">
        <f aca="false">M10+$C$12</f>
        <v>-5562273.48619663</v>
      </c>
      <c r="N13" s="25" t="n">
        <f aca="false">N10+$C$12</f>
        <v>3421490.95489103</v>
      </c>
      <c r="O13" s="25" t="n">
        <f aca="false">O10+$C$12</f>
        <v>12563670.5181338</v>
      </c>
      <c r="P13" s="25" t="n">
        <f aca="false">P10+$C$12</f>
        <v>21867433.5059747</v>
      </c>
      <c r="Q13" s="25" t="n">
        <f aca="false">Q10+$C$12</f>
        <v>31336011.5869058</v>
      </c>
    </row>
    <row r="15" customFormat="false" ht="15" hidden="false" customHeight="true" outlineLevel="0" collapsed="false">
      <c r="B15" s="55" t="s">
        <v>839</v>
      </c>
    </row>
    <row r="16" customFormat="false" ht="15" hidden="false" customHeight="true" outlineLevel="0" collapsed="false">
      <c r="B16" s="39" t="s">
        <v>840</v>
      </c>
      <c r="C16" s="56" t="n">
        <f aca="false">IF(Q13&gt;0,MATCH(TRUE(),INDEX(C13:Q13&gt;0,0),0),"&gt;15")</f>
        <v>12</v>
      </c>
    </row>
    <row r="17" customFormat="false" ht="15" hidden="false" customHeight="true" outlineLevel="0" collapsed="false">
      <c r="B17" s="39" t="s">
        <v>841</v>
      </c>
      <c r="C17" s="52" t="n">
        <f aca="false">IF(CAPEX!C47=0,0,AVERAGE(C9:Q9)/CAPEX!C47)</f>
        <v>0.175846715904655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2026-03-04T13:17:02Z</dcterms:created>
  <dc:creator>openpyxl</dc:creator>
  <dc:description/>
  <dc:language>en-US</dc:language>
  <cp:lastModifiedBy/>
  <dcterms:modified xsi:type="dcterms:W3CDTF">2026-03-06T13:45:43Z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