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wiplan10.sharepoint.com/sites/F428-RfrentielPartageADEME/Documents partages/Général/2023_hexagone/rendus/"/>
    </mc:Choice>
  </mc:AlternateContent>
  <xr:revisionPtr revIDLastSave="31" documentId="13_ncr:1_{BA2D1D47-5EE6-4386-83F3-CBB598F44B62}" xr6:coauthVersionLast="47" xr6:coauthVersionMax="47" xr10:uidLastSave="{14302B68-3E7A-40C1-9495-489AAD395F1F}"/>
  <bookViews>
    <workbookView xWindow="-37470" yWindow="-11760" windowWidth="28800" windowHeight="15500" tabRatio="879" xr2:uid="{00000000-000D-0000-FFFF-FFFF00000000}"/>
  </bookViews>
  <sheets>
    <sheet name="Sommaire" sheetId="2" r:id="rId1"/>
    <sheet name="Synthèse €hab." sheetId="16" r:id="rId2"/>
    <sheet name="Synthèse €tonne" sheetId="17" r:id="rId3"/>
    <sheet name="Tous flux" sheetId="3" r:id="rId4"/>
    <sheet name="OMR" sheetId="1" r:id="rId5"/>
    <sheet name="Emb. Verre" sheetId="7" r:id="rId6"/>
    <sheet name="Papiers et Emb. HV" sheetId="8" r:id="rId7"/>
    <sheet name="Déchèteries" sheetId="9" r:id="rId8"/>
    <sheet name="Autres flux" sheetId="12" r:id="rId9"/>
    <sheet name="Tarif. Incitative" sheetId="11" r:id="rId10"/>
    <sheet name="Évolution" sheetId="14" r:id="rId11"/>
  </sheets>
  <externalReferences>
    <externalReference r:id="rId12"/>
  </externalReferences>
  <definedNames>
    <definedName name="_50">[1]percentiles!$C$1</definedName>
    <definedName name="filtre">OMR!$A$21</definedName>
    <definedName name="_xlnm.Print_Area" localSheetId="8">'Autres flux'!$C$1:$K$76</definedName>
    <definedName name="_xlnm.Print_Area" localSheetId="7">Déchèteries!$C$1:$K$127</definedName>
    <definedName name="_xlnm.Print_Area" localSheetId="5">'Emb. Verre'!$C$1:$K$158</definedName>
    <definedName name="_xlnm.Print_Area" localSheetId="10">Évolution!$C$1:$K$82</definedName>
    <definedName name="_xlnm.Print_Area" localSheetId="4">OMR!$C$1:$K$154</definedName>
    <definedName name="_xlnm.Print_Area" localSheetId="6">'Papiers et Emb. HV'!$C$1:$K$218</definedName>
    <definedName name="_xlnm.Print_Area" localSheetId="9">'Tarif. Incitative'!$C$1:$K$187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H15" i="3"/>
  <c r="C369" i="8" l="1"/>
  <c r="C346" i="8"/>
  <c r="C323" i="8"/>
  <c r="C300" i="8"/>
  <c r="C277" i="8"/>
  <c r="C254" i="8"/>
  <c r="C239" i="8"/>
  <c r="C341" i="11" l="1"/>
  <c r="C325" i="11"/>
  <c r="C309" i="11"/>
  <c r="C144" i="11"/>
  <c r="C129" i="11"/>
  <c r="C285" i="11"/>
  <c r="C261" i="11"/>
  <c r="C237" i="11"/>
  <c r="C213" i="11"/>
  <c r="C114" i="11"/>
  <c r="C99" i="11"/>
  <c r="C84" i="11"/>
  <c r="C69" i="11"/>
  <c r="C83" i="12" l="1"/>
  <c r="C55" i="9" l="1"/>
  <c r="C75" i="1" l="1"/>
  <c r="C35" i="1"/>
  <c r="H17" i="9"/>
  <c r="G17" i="9"/>
  <c r="H16" i="9"/>
  <c r="G16" i="9"/>
  <c r="H28" i="8"/>
  <c r="G28" i="8"/>
  <c r="H27" i="8"/>
  <c r="G27" i="8"/>
  <c r="H20" i="7"/>
  <c r="G20" i="7"/>
  <c r="H19" i="7"/>
  <c r="G19" i="7"/>
  <c r="H17" i="1"/>
  <c r="G17" i="1"/>
  <c r="H16" i="1"/>
  <c r="G16" i="1"/>
  <c r="G18" i="1" l="1"/>
  <c r="C189" i="11" l="1"/>
  <c r="C54" i="11"/>
  <c r="H13" i="3" l="1"/>
  <c r="G13" i="3"/>
  <c r="F177" i="8" l="1"/>
  <c r="F200" i="8" s="1"/>
  <c r="G177" i="8"/>
  <c r="G200" i="8" s="1"/>
  <c r="H177" i="8"/>
  <c r="H200" i="8" s="1"/>
  <c r="I177" i="8"/>
  <c r="I200" i="8" s="1"/>
  <c r="J177" i="8"/>
  <c r="J200" i="8" s="1"/>
  <c r="K177" i="8"/>
  <c r="K200" i="8" s="1"/>
  <c r="L177" i="8"/>
  <c r="L200" i="8" s="1"/>
  <c r="M177" i="8"/>
  <c r="M200" i="8" s="1"/>
  <c r="E177" i="8"/>
  <c r="E200" i="8" s="1"/>
  <c r="F182" i="7" l="1"/>
  <c r="G182" i="7"/>
  <c r="E182" i="7"/>
  <c r="F162" i="7"/>
  <c r="G162" i="7"/>
  <c r="E162" i="7"/>
  <c r="C69" i="14" l="1"/>
  <c r="C55" i="14"/>
  <c r="C41" i="14"/>
  <c r="C27" i="14"/>
  <c r="C13" i="14"/>
  <c r="C174" i="11"/>
  <c r="C159" i="11"/>
  <c r="C39" i="11"/>
  <c r="C26" i="11"/>
  <c r="C59" i="12"/>
  <c r="C35" i="12"/>
  <c r="C11" i="12"/>
  <c r="C108" i="9"/>
  <c r="C88" i="9"/>
  <c r="C68" i="9"/>
  <c r="C35" i="9"/>
  <c r="H18" i="9"/>
  <c r="G18" i="9"/>
  <c r="C13" i="9"/>
  <c r="C219" i="8"/>
  <c r="C196" i="8"/>
  <c r="C173" i="8"/>
  <c r="C150" i="8"/>
  <c r="C127" i="8"/>
  <c r="C106" i="8"/>
  <c r="C86" i="8"/>
  <c r="C66" i="8"/>
  <c r="C46" i="8"/>
  <c r="H29" i="8"/>
  <c r="G29" i="8"/>
  <c r="C24" i="8"/>
  <c r="G191" i="7"/>
  <c r="F191" i="7"/>
  <c r="E191" i="7"/>
  <c r="G184" i="7"/>
  <c r="F184" i="7"/>
  <c r="E184" i="7"/>
  <c r="C179" i="7"/>
  <c r="G171" i="7"/>
  <c r="F171" i="7"/>
  <c r="E171" i="7"/>
  <c r="G164" i="7"/>
  <c r="F164" i="7"/>
  <c r="E164" i="7"/>
  <c r="C159" i="7"/>
  <c r="G151" i="7"/>
  <c r="F151" i="7"/>
  <c r="E151" i="7"/>
  <c r="G144" i="7"/>
  <c r="F144" i="7"/>
  <c r="E144" i="7"/>
  <c r="C139" i="7"/>
  <c r="G131" i="7"/>
  <c r="F131" i="7"/>
  <c r="E131" i="7"/>
  <c r="G124" i="7"/>
  <c r="F124" i="7"/>
  <c r="E124" i="7"/>
  <c r="C119" i="7"/>
  <c r="C98" i="7"/>
  <c r="C78" i="7"/>
  <c r="C58" i="7"/>
  <c r="C38" i="7"/>
  <c r="H21" i="7"/>
  <c r="G21" i="7"/>
  <c r="C16" i="7"/>
  <c r="C132" i="1"/>
  <c r="C111" i="1"/>
  <c r="C88" i="1"/>
  <c r="C55" i="1"/>
  <c r="H18" i="1"/>
  <c r="C13" i="1"/>
  <c r="C74" i="3"/>
  <c r="C52" i="3"/>
  <c r="C32" i="3"/>
  <c r="H14" i="3"/>
  <c r="G14" i="3"/>
  <c r="C10" i="3"/>
  <c r="G30" i="17"/>
  <c r="F30" i="17"/>
  <c r="E30" i="17"/>
  <c r="D30" i="17"/>
  <c r="G29" i="17"/>
  <c r="F29" i="17"/>
  <c r="E29" i="17"/>
  <c r="D29" i="17"/>
  <c r="G28" i="17"/>
  <c r="F28" i="17"/>
  <c r="E28" i="17"/>
  <c r="D28" i="17"/>
  <c r="G27" i="17"/>
  <c r="F27" i="17"/>
  <c r="E27" i="17"/>
  <c r="D27" i="17"/>
  <c r="G26" i="17"/>
  <c r="F26" i="17"/>
  <c r="E26" i="17"/>
  <c r="D26" i="17"/>
  <c r="G23" i="17"/>
  <c r="F23" i="17"/>
  <c r="E23" i="17"/>
  <c r="D23" i="17"/>
  <c r="G22" i="17"/>
  <c r="F22" i="17"/>
  <c r="E22" i="17"/>
  <c r="D22" i="17"/>
  <c r="G21" i="17"/>
  <c r="F21" i="17"/>
  <c r="E21" i="17"/>
  <c r="D21" i="17"/>
  <c r="G20" i="17"/>
  <c r="F20" i="17"/>
  <c r="E20" i="17"/>
  <c r="D20" i="17"/>
  <c r="G19" i="17"/>
  <c r="F19" i="17"/>
  <c r="E19" i="17"/>
  <c r="D19" i="17"/>
  <c r="G16" i="17"/>
  <c r="F16" i="17"/>
  <c r="E16" i="17"/>
  <c r="D16" i="17"/>
  <c r="G15" i="17"/>
  <c r="F15" i="17"/>
  <c r="E15" i="17"/>
  <c r="D15" i="17"/>
  <c r="G14" i="17"/>
  <c r="F14" i="17"/>
  <c r="E14" i="17"/>
  <c r="D14" i="17"/>
  <c r="G13" i="17"/>
  <c r="F13" i="17"/>
  <c r="E13" i="17"/>
  <c r="D13" i="17"/>
  <c r="G12" i="17"/>
  <c r="F12" i="17"/>
  <c r="E12" i="17"/>
  <c r="D12" i="17"/>
  <c r="G9" i="17"/>
  <c r="F9" i="17"/>
  <c r="E9" i="17"/>
  <c r="D9" i="17"/>
  <c r="G8" i="17"/>
  <c r="F8" i="17"/>
  <c r="E8" i="17"/>
  <c r="D8" i="17"/>
  <c r="G7" i="17"/>
  <c r="F7" i="17"/>
  <c r="E7" i="17"/>
  <c r="D7" i="17"/>
  <c r="G6" i="17"/>
  <c r="F6" i="17"/>
  <c r="E6" i="17"/>
  <c r="D6" i="17"/>
  <c r="G5" i="17"/>
  <c r="F5" i="17"/>
  <c r="E5" i="17"/>
  <c r="D5" i="17"/>
  <c r="G37" i="16"/>
  <c r="F37" i="16"/>
  <c r="E37" i="16"/>
  <c r="D37" i="16"/>
  <c r="G36" i="16"/>
  <c r="F36" i="16"/>
  <c r="E36" i="16"/>
  <c r="D36" i="16"/>
  <c r="G35" i="16"/>
  <c r="F35" i="16"/>
  <c r="E35" i="16"/>
  <c r="D35" i="16"/>
  <c r="G34" i="16"/>
  <c r="F34" i="16"/>
  <c r="E34" i="16"/>
  <c r="D34" i="16"/>
  <c r="G33" i="16"/>
  <c r="F33" i="16"/>
  <c r="E33" i="16"/>
  <c r="D33" i="16"/>
  <c r="G30" i="16"/>
  <c r="F30" i="16"/>
  <c r="E30" i="16"/>
  <c r="D30" i="16"/>
  <c r="G29" i="16"/>
  <c r="F29" i="16"/>
  <c r="E29" i="16"/>
  <c r="D29" i="16"/>
  <c r="G28" i="16"/>
  <c r="F28" i="16"/>
  <c r="E28" i="16"/>
  <c r="D28" i="16"/>
  <c r="G27" i="16"/>
  <c r="F27" i="16"/>
  <c r="E27" i="16"/>
  <c r="D27" i="16"/>
  <c r="G26" i="16"/>
  <c r="F26" i="16"/>
  <c r="E26" i="16"/>
  <c r="D26" i="16"/>
  <c r="G23" i="16"/>
  <c r="F23" i="16"/>
  <c r="E23" i="16"/>
  <c r="D23" i="16"/>
  <c r="G22" i="16"/>
  <c r="F22" i="16"/>
  <c r="E22" i="16"/>
  <c r="D22" i="16"/>
  <c r="G21" i="16"/>
  <c r="F21" i="16"/>
  <c r="E21" i="16"/>
  <c r="D21" i="16"/>
  <c r="G20" i="16"/>
  <c r="F20" i="16"/>
  <c r="E20" i="16"/>
  <c r="D20" i="16"/>
  <c r="G19" i="16"/>
  <c r="F19" i="16"/>
  <c r="E19" i="16"/>
  <c r="D19" i="16"/>
  <c r="G16" i="16"/>
  <c r="F16" i="16"/>
  <c r="E16" i="16"/>
  <c r="D16" i="16"/>
  <c r="G15" i="16"/>
  <c r="F15" i="16"/>
  <c r="E15" i="16"/>
  <c r="D15" i="16"/>
  <c r="G14" i="16"/>
  <c r="F14" i="16"/>
  <c r="E14" i="16"/>
  <c r="D14" i="16"/>
  <c r="G13" i="16"/>
  <c r="F13" i="16"/>
  <c r="E13" i="16"/>
  <c r="D13" i="16"/>
  <c r="G12" i="16"/>
  <c r="F12" i="16"/>
  <c r="E12" i="16"/>
  <c r="D12" i="16"/>
  <c r="G9" i="16"/>
  <c r="F9" i="16"/>
  <c r="E9" i="16"/>
  <c r="D9" i="16"/>
  <c r="G8" i="16"/>
  <c r="F8" i="16"/>
  <c r="E8" i="16"/>
  <c r="D8" i="16"/>
  <c r="G7" i="16"/>
  <c r="F7" i="16"/>
  <c r="E7" i="16"/>
  <c r="D7" i="16"/>
  <c r="G6" i="16"/>
  <c r="F6" i="16"/>
  <c r="E6" i="16"/>
  <c r="D6" i="16"/>
  <c r="G5" i="16"/>
  <c r="F5" i="16"/>
  <c r="E5" i="16"/>
  <c r="D5" i="16"/>
</calcChain>
</file>

<file path=xl/sharedStrings.xml><?xml version="1.0" encoding="utf-8"?>
<sst xmlns="http://schemas.openxmlformats.org/spreadsheetml/2006/main" count="2640" uniqueCount="168">
  <si>
    <t>Sommaire</t>
  </si>
  <si>
    <t>Fiche du référentiel</t>
  </si>
  <si>
    <t>Synthèse €/hab.</t>
  </si>
  <si>
    <t>Synthèse €/tonne</t>
  </si>
  <si>
    <t>Tous flux</t>
  </si>
  <si>
    <t>OMR</t>
  </si>
  <si>
    <t>Emballages en verre</t>
  </si>
  <si>
    <t>Papiers et emballages hors verre</t>
  </si>
  <si>
    <t>Déchèteries</t>
  </si>
  <si>
    <t>Autres flux</t>
  </si>
  <si>
    <t>Tarification Incitative</t>
  </si>
  <si>
    <t>Évolution</t>
  </si>
  <si>
    <t>Retour sommaire annexe</t>
  </si>
  <si>
    <t>Ensemble</t>
  </si>
  <si>
    <t>Rural</t>
  </si>
  <si>
    <t>Mixte rural</t>
  </si>
  <si>
    <t>Mixte urbain</t>
  </si>
  <si>
    <t>Urbain</t>
  </si>
  <si>
    <t>Touristique</t>
  </si>
  <si>
    <t>Coût Complet</t>
  </si>
  <si>
    <t>Coût technique</t>
  </si>
  <si>
    <t>Coût partagé</t>
  </si>
  <si>
    <t>Coût aidé HT</t>
  </si>
  <si>
    <t>p90</t>
  </si>
  <si>
    <t>p75</t>
  </si>
  <si>
    <t>Moyenne pondérée</t>
  </si>
  <si>
    <t>Médiane</t>
  </si>
  <si>
    <t>p25</t>
  </si>
  <si>
    <t>p10</t>
  </si>
  <si>
    <t>Verre</t>
  </si>
  <si>
    <t>Recyclables</t>
  </si>
  <si>
    <t>Tous flux - Coûts de synthèse</t>
  </si>
  <si>
    <t>Tous flux - Évolution du coût aidé HT</t>
  </si>
  <si>
    <t>Tous flux - Coût aidé HT et typologie d'habitat</t>
  </si>
  <si>
    <t>Tous flux - Taux de couverture du coût aidé TTC par le financement</t>
  </si>
  <si>
    <t>Retour sommaire fiche</t>
  </si>
  <si>
    <t>Nombre de matrices</t>
  </si>
  <si>
    <t>Population</t>
  </si>
  <si>
    <t>Ratio (moyenne pondérée)</t>
  </si>
  <si>
    <t>Euro / habitant</t>
  </si>
  <si>
    <t>Euro / tonne</t>
  </si>
  <si>
    <t>Nb de matrices</t>
  </si>
  <si>
    <t>Ratio (médiane)</t>
  </si>
  <si>
    <t>P90</t>
  </si>
  <si>
    <t>P75</t>
  </si>
  <si>
    <t>P25</t>
  </si>
  <si>
    <t>P10</t>
  </si>
  <si>
    <t>Taux de couverture
en %</t>
  </si>
  <si>
    <t>Sans TI</t>
  </si>
  <si>
    <t>Avec TI</t>
  </si>
  <si>
    <t>OMR - Coûts de synthèse</t>
  </si>
  <si>
    <t>OMR - Charges par étape technique</t>
  </si>
  <si>
    <t>OMR - Produits par nature</t>
  </si>
  <si>
    <t>OMR - Évolution du coût aidé HT</t>
  </si>
  <si>
    <t>OMR - Coût aidé HT et la typologie d'habitat</t>
  </si>
  <si>
    <t>Pré-collecte</t>
  </si>
  <si>
    <t>Collecte</t>
  </si>
  <si>
    <t>Transport</t>
  </si>
  <si>
    <t>Traitement</t>
  </si>
  <si>
    <t>Produits industriels</t>
  </si>
  <si>
    <t>Soutiens</t>
  </si>
  <si>
    <t>Aides</t>
  </si>
  <si>
    <t>Inc. ou Méth.</t>
  </si>
  <si>
    <t>Porte-à-porte</t>
  </si>
  <si>
    <t>Apport volontaire</t>
  </si>
  <si>
    <t>Stockage
(coût net)</t>
  </si>
  <si>
    <t>Incinération
(coût net)</t>
  </si>
  <si>
    <t>Emballages verre - Coûts de synthèse</t>
  </si>
  <si>
    <t>Emballages verre - Charges par étape technique</t>
  </si>
  <si>
    <t>Emballages verre - Produits par nature</t>
  </si>
  <si>
    <t>Emballages verre - Évolution du coût aidé HT</t>
  </si>
  <si>
    <t>Emballages verre - Coût aidé HT et typologie d'habitat</t>
  </si>
  <si>
    <t>Emballages verre - Coût aidé HT et mode de collecte</t>
  </si>
  <si>
    <t>Emballages verre - Charges de pré-collecte et de collecte et mode de collecte</t>
  </si>
  <si>
    <t>Emballages verre - Charges de pré-collecte et mode de collecte</t>
  </si>
  <si>
    <t>Emballages verre - Charges de collecte et mode de collecte</t>
  </si>
  <si>
    <t>Mixte</t>
  </si>
  <si>
    <t>Papiers et emballages hors verre - Coûts de synthèse</t>
  </si>
  <si>
    <t>Papiers et emballages hors verre - Charges par étape technique</t>
  </si>
  <si>
    <t>Papiers et emballages hors verre - Produits par nature</t>
  </si>
  <si>
    <t>Papiers et emballages hors verre - Évolution du coût aidé HT</t>
  </si>
  <si>
    <t>Papiers et emballages hors verre - Coût aidé HT et typologie d'habitat</t>
  </si>
  <si>
    <t>Papiers et emballages hors verre - Coût aidé HT et mode/schéma de collecte</t>
  </si>
  <si>
    <t>Papiers et emballages hors verre - Charges de pré-collecte et collecte et mode/schéma de collecte</t>
  </si>
  <si>
    <t>Papiers et emballages hors verre - Charges de pré-collecte et mode/schéma de collecte</t>
  </si>
  <si>
    <t>Papiers et emballages hors verre - Charges de collecte et mode/schéma de collecte</t>
  </si>
  <si>
    <t>Papiers et emballages hors verre - Charges de traitement et schéma de collecte</t>
  </si>
  <si>
    <t>Pap./Emb.</t>
  </si>
  <si>
    <t>PM/PC</t>
  </si>
  <si>
    <t>Multi.</t>
  </si>
  <si>
    <t>Déchets en déchèterie - Coûts de synthèse</t>
  </si>
  <si>
    <t>Déchets en déchèterie - Charges par étape technique</t>
  </si>
  <si>
    <t>Déchets en déchèterie - Produits par nature</t>
  </si>
  <si>
    <t>Déchets en déchèterie - Évolution du coût aidé HT</t>
  </si>
  <si>
    <t>Déchets en déchèterie - Coûts aidés HT et typologie d'habitat</t>
  </si>
  <si>
    <t>Gestion DD</t>
  </si>
  <si>
    <t xml:space="preserve">Autres flux - Coûts complet et aidé HT de gestion des déchets verts </t>
  </si>
  <si>
    <t>Autres flux - Coûts complet et aidé HT de gestion des biodéchets</t>
  </si>
  <si>
    <t>Autres flux - Coûts complet et aidé HT de gestion des encombrants</t>
  </si>
  <si>
    <t>Coût complet</t>
  </si>
  <si>
    <t>AV</t>
  </si>
  <si>
    <t>PAP</t>
  </si>
  <si>
    <t>PAP - DCT exclusivement</t>
  </si>
  <si>
    <t>PAP - DV à la marge</t>
  </si>
  <si>
    <t>PAP - DCT + DV</t>
  </si>
  <si>
    <t>PAP sur RDV</t>
  </si>
  <si>
    <t>PAP 1 à 4 fois/an</t>
  </si>
  <si>
    <t>PAP 5 fois/an et +</t>
  </si>
  <si>
    <t>Tarification incitative - Dispersion des quantités de déchets totaux collectés avec ou sans TI</t>
  </si>
  <si>
    <t xml:space="preserve">Tarification incitative - Dispersion des quantités de déchets collectés pour les quatre principaux flux avec ou sans TI </t>
  </si>
  <si>
    <t>Tarification incitative - Dispersion des quantités de déchets totaux collectés par typologie d'habitat avec ou sans TI</t>
  </si>
  <si>
    <t>Tarification incitative - Coûts complets et aidés tous flux avec ou sans TI (en euros par habitant)</t>
  </si>
  <si>
    <t>Tarification incitative - Coûts aidés par flux avec ou sans TI (en euros par habitant)</t>
  </si>
  <si>
    <t>Tarification incitative - Coûts aidés tous flux par typologie d'habitat avec ou sans TI (en euros par habitant)</t>
  </si>
  <si>
    <t>Ratio en kg/hab.</t>
  </si>
  <si>
    <t>Coût complet tous flux</t>
  </si>
  <si>
    <t>Coût aidé HT tous flux</t>
  </si>
  <si>
    <t>Cet annexe interactive présente les données brutes du référentiel national des coûts du service public de gestion des déchets portant sur l'année 2023.
Pour chaque boite à moustache présente dans le rapport du référentiel, le tableau de données correspondant est présenté dans cette annexe.
Un bilan des coûts en €/habitant et €/tonne par flux et par typologie d'habitat est également proposé en synthèse.</t>
  </si>
  <si>
    <t>ADEME, Laura VILLARROEL et Alexandra GENTRIC, AWIPLAN, Magali GASS. 2025/09.
Référentiel des coûts du service public de gestion des déchets en France métropolitaine données 2023.</t>
  </si>
  <si>
    <t>Évolution - Évolution du coût aidé HT tous flux entre 2010 et 2023</t>
  </si>
  <si>
    <t>Évolution - Évolution du coût aidé HT des OMR entre 2010 et 2023</t>
  </si>
  <si>
    <t>Évolution - Évolution du coût aidé HT des emballages en verre entre 2010 et 2023</t>
  </si>
  <si>
    <t>Évolution - Évolution du coût aidé HT des papiers et emballages hors verre entre 2010 et 2023</t>
  </si>
  <si>
    <t>Évolution - Évolution du coût aidé HT des déchèteries entre 2010 et 2023</t>
  </si>
  <si>
    <t>OMR - Coûts de synthèse pour les collectivités ayant comme mode principal de traitement l’incinération</t>
  </si>
  <si>
    <t>OMR - Charges de traitement selon le mode de traitement</t>
  </si>
  <si>
    <t>Incinération</t>
  </si>
  <si>
    <t>Stockage</t>
  </si>
  <si>
    <t>TMB compostage</t>
  </si>
  <si>
    <t>TMB compostage
(coût net)</t>
  </si>
  <si>
    <t xml:space="preserve">données 2022 – analyse non réalisée dans le référentiel simplifié 2023 </t>
  </si>
  <si>
    <t>Déchets en déchèterie - Charges de traitement selon les flux</t>
  </si>
  <si>
    <t>DV
compostage</t>
  </si>
  <si>
    <t>DV
méthanisation</t>
  </si>
  <si>
    <t>Tout-venant
stockage</t>
  </si>
  <si>
    <t>Tout-venant
incinération</t>
  </si>
  <si>
    <t>Inertes</t>
  </si>
  <si>
    <t>Autres flux - Coûts complet et aidé HT de gestion des déchets des professionnels</t>
  </si>
  <si>
    <t>Toutes typologies</t>
  </si>
  <si>
    <t>Tarification incitative - Dispersion des quantités d'OMR collectées par typologie d'habitat avec ou sans TI</t>
  </si>
  <si>
    <t>Tarification incitative - Dispersion des quantités de verre collectées par typologie d'habitat avec ou sans TI</t>
  </si>
  <si>
    <t>Tarification incitative - Dispersion des quantités de PEHV collectées par typologie d'habitat avec ou sans TI</t>
  </si>
  <si>
    <t>Tarification incitative - Dispersion des quantités de déchets en déchèterie collectées par typologie d'habitat avec ou sans TI</t>
  </si>
  <si>
    <t>Tarification incitative - Coûts aidés des OMR par typologie d'habitat avec ou sans TI (en euros par habitant)</t>
  </si>
  <si>
    <t>Tarification incitative - Coûts aidés du verre par typologie d'habitat avec ou sans TI (en euros par habitant)</t>
  </si>
  <si>
    <t>Tarification incitative - Coûts aidés des PEHV par typologie d'habitat avec ou sans TI (en euros par habitant)</t>
  </si>
  <si>
    <t>Tarification incitative - Coûts aidés des déchets en déchèterie par typologie d'habitat avec ou sans TI (en euros par habitant)</t>
  </si>
  <si>
    <t>Tarification incitative - Dispersion des quantités d'OMR collectées par fréquence de collecte avec ou sans TI</t>
  </si>
  <si>
    <t>Tarification incitative - Dispersion des quantités d'OMR collectées par typologie d'habitat selon le type de facturation</t>
  </si>
  <si>
    <t>REOM i</t>
  </si>
  <si>
    <t>TEOM i</t>
  </si>
  <si>
    <t>C0,5</t>
  </si>
  <si>
    <t>C1</t>
  </si>
  <si>
    <t>Tarification incitative - Charges de collecte par fréquence de collecte avec ou sans TI (en euros par habitant)</t>
  </si>
  <si>
    <t>Tarification incitative - Coûts aidés des OMR par fréquence de collecte avec ou sans TI (en euros par habitant)</t>
  </si>
  <si>
    <t>Tarification incitative - Coûts aidés des OMR par typologie d'habitat selon le type de facturation(en euros par habitant)</t>
  </si>
  <si>
    <t>Papiers et emballages hors verre - Quantités collectées par sous-flux et par mode de collecte</t>
  </si>
  <si>
    <t>Multimatériaux</t>
  </si>
  <si>
    <t>Emballages</t>
  </si>
  <si>
    <t>Papiers</t>
  </si>
  <si>
    <t>Plastiques - Métaux</t>
  </si>
  <si>
    <t>Papiers - cartons</t>
  </si>
  <si>
    <t>Papiers et emballages hors verre - Coût complet par sous-flux et mode de collecte</t>
  </si>
  <si>
    <t>Papiers et emballages hors verre - Coût aidé HT par sous-flux et mode de collecte</t>
  </si>
  <si>
    <t>Papiers et emballages hors verre - Charges de pré-collecte et collecte par sous-flux et mode de collecte</t>
  </si>
  <si>
    <t>Papiers et emballages hors verre - Charges de pré-collecte par sous-flux et mode de collecte</t>
  </si>
  <si>
    <t>Papiers et emballages hors verre - Charges de collecte par sous-flux et mode de collecte</t>
  </si>
  <si>
    <t>Papiers et emballages hors verre - Charges de tri par sous-flux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</si>
</sst>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_ ;\-#,##0\ "/>
    <numFmt numFmtId="165" formatCode="_-* #,##0.0\ &quot;€&quot;_-;\-* #,##0.0\ &quot;€&quot;_-;_-* &quot;-&quot;??\ &quot;€&quot;_-;_-@_-"/>
    <numFmt numFmtId="166" formatCode="_-* #,##0\ &quot;€&quot;_-;\-* #,##0\ &quot;€&quot;_-;_-* &quot;-&quot;??\ &quot;€&quot;_-;_-@_-"/>
    <numFmt numFmtId="167" formatCode="_-* #,##0\ _€_-;\-* #,##0\ _€_-;_-* &quot;-&quot;??\ _€_-;_-@_-"/>
    <numFmt numFmtId="168" formatCode="_-* #,##0.00\ _€_-;\-* #,##0.00\ _€_-;_-* &quot;-&quot;??\ _€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Marianne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0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094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8" fontId="2" fillId="0" borderId="0" applyFont="0" applyFill="0" applyBorder="0" applyAlignment="0" applyProtection="0"/>
  </cellStyleXfs>
  <cellXfs count="127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/>
    <xf numFmtId="166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166" fontId="5" fillId="0" borderId="1" xfId="1" applyNumberFormat="1" applyFont="1" applyBorder="1" applyAlignment="1">
      <alignment horizontal="center" vertical="center" wrapText="1"/>
    </xf>
    <xf numFmtId="166" fontId="5" fillId="3" borderId="1" xfId="1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9" fillId="0" borderId="0" xfId="2" applyAlignment="1">
      <alignment horizontal="left"/>
    </xf>
    <xf numFmtId="0" fontId="0" fillId="0" borderId="1" xfId="0" applyBorder="1"/>
    <xf numFmtId="167" fontId="0" fillId="0" borderId="1" xfId="3" applyNumberFormat="1" applyFont="1" applyBorder="1"/>
    <xf numFmtId="166" fontId="5" fillId="3" borderId="1" xfId="0" applyNumberFormat="1" applyFont="1" applyFill="1" applyBorder="1"/>
    <xf numFmtId="44" fontId="0" fillId="0" borderId="0" xfId="0" applyNumberFormat="1"/>
    <xf numFmtId="0" fontId="10" fillId="3" borderId="1" xfId="0" applyFont="1" applyFill="1" applyBorder="1"/>
    <xf numFmtId="0" fontId="10" fillId="0" borderId="1" xfId="0" applyFont="1" applyBorder="1"/>
    <xf numFmtId="0" fontId="11" fillId="2" borderId="1" xfId="0" applyFont="1" applyFill="1" applyBorder="1" applyAlignment="1">
      <alignment horizontal="center" vertical="center" wrapText="1"/>
    </xf>
    <xf numFmtId="165" fontId="0" fillId="0" borderId="0" xfId="0" applyNumberFormat="1"/>
    <xf numFmtId="166" fontId="10" fillId="0" borderId="1" xfId="1" applyNumberFormat="1" applyFont="1" applyBorder="1" applyAlignment="1">
      <alignment horizontal="center" vertical="center" wrapText="1"/>
    </xf>
    <xf numFmtId="166" fontId="10" fillId="3" borderId="1" xfId="1" applyNumberFormat="1" applyFont="1" applyFill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/>
    <xf numFmtId="0" fontId="0" fillId="0" borderId="0" xfId="0" applyAlignment="1">
      <alignment vertical="center"/>
    </xf>
    <xf numFmtId="4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5" fontId="10" fillId="3" borderId="1" xfId="0" applyNumberFormat="1" applyFont="1" applyFill="1" applyBorder="1" applyAlignment="1">
      <alignment horizontal="center" vertical="center" wrapText="1"/>
    </xf>
    <xf numFmtId="44" fontId="10" fillId="3" borderId="1" xfId="0" applyNumberFormat="1" applyFont="1" applyFill="1" applyBorder="1" applyAlignment="1">
      <alignment horizontal="center" vertical="center" wrapText="1"/>
    </xf>
    <xf numFmtId="44" fontId="10" fillId="0" borderId="1" xfId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/>
    </xf>
    <xf numFmtId="44" fontId="10" fillId="3" borderId="1" xfId="1" applyFont="1" applyFill="1" applyBorder="1" applyAlignment="1">
      <alignment horizontal="center" vertical="center" wrapText="1"/>
    </xf>
    <xf numFmtId="165" fontId="10" fillId="0" borderId="1" xfId="1" applyNumberFormat="1" applyFont="1" applyBorder="1" applyAlignment="1">
      <alignment horizontal="center" vertical="center" wrapText="1"/>
    </xf>
    <xf numFmtId="165" fontId="10" fillId="3" borderId="1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165" fontId="10" fillId="0" borderId="1" xfId="0" applyNumberFormat="1" applyFont="1" applyBorder="1" applyAlignment="1">
      <alignment horizontal="center" vertical="center" wrapText="1"/>
    </xf>
    <xf numFmtId="44" fontId="10" fillId="0" borderId="1" xfId="0" applyNumberFormat="1" applyFont="1" applyBorder="1" applyAlignment="1">
      <alignment horizontal="center" vertical="center" wrapText="1"/>
    </xf>
    <xf numFmtId="0" fontId="14" fillId="3" borderId="1" xfId="0" applyFont="1" applyFill="1" applyBorder="1"/>
    <xf numFmtId="9" fontId="14" fillId="3" borderId="1" xfId="4" applyFont="1" applyFill="1" applyBorder="1" applyAlignment="1">
      <alignment horizontal="center" vertical="center" wrapText="1"/>
    </xf>
    <xf numFmtId="0" fontId="14" fillId="0" borderId="1" xfId="0" applyFont="1" applyBorder="1"/>
    <xf numFmtId="9" fontId="14" fillId="0" borderId="1" xfId="4" applyFont="1" applyBorder="1" applyAlignment="1">
      <alignment horizontal="center" vertical="center" wrapText="1"/>
    </xf>
    <xf numFmtId="165" fontId="10" fillId="5" borderId="1" xfId="0" applyNumberFormat="1" applyFont="1" applyFill="1" applyBorder="1" applyAlignment="1">
      <alignment horizontal="center" vertical="center" wrapText="1"/>
    </xf>
    <xf numFmtId="165" fontId="10" fillId="5" borderId="1" xfId="0" applyNumberFormat="1" applyFont="1" applyFill="1" applyBorder="1"/>
    <xf numFmtId="165" fontId="10" fillId="3" borderId="1" xfId="0" applyNumberFormat="1" applyFont="1" applyFill="1" applyBorder="1"/>
    <xf numFmtId="165" fontId="10" fillId="5" borderId="1" xfId="0" applyNumberFormat="1" applyFont="1" applyFill="1" applyBorder="1" applyAlignment="1">
      <alignment vertical="center"/>
    </xf>
    <xf numFmtId="0" fontId="16" fillId="3" borderId="1" xfId="0" applyFont="1" applyFill="1" applyBorder="1"/>
    <xf numFmtId="0" fontId="16" fillId="0" borderId="1" xfId="0" applyFont="1" applyBorder="1"/>
    <xf numFmtId="164" fontId="16" fillId="3" borderId="1" xfId="0" applyNumberFormat="1" applyFont="1" applyFill="1" applyBorder="1" applyAlignment="1">
      <alignment horizontal="center" vertical="center" wrapText="1"/>
    </xf>
    <xf numFmtId="164" fontId="16" fillId="0" borderId="1" xfId="1" applyNumberFormat="1" applyFont="1" applyBorder="1" applyAlignment="1">
      <alignment horizontal="center" vertical="center" wrapText="1"/>
    </xf>
    <xf numFmtId="164" fontId="16" fillId="3" borderId="1" xfId="1" applyNumberFormat="1" applyFont="1" applyFill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0" fontId="17" fillId="0" borderId="0" xfId="0" applyFont="1"/>
    <xf numFmtId="44" fontId="0" fillId="0" borderId="1" xfId="1" applyFont="1" applyBorder="1" applyAlignment="1">
      <alignment horizontal="center" vertical="center" wrapText="1"/>
    </xf>
    <xf numFmtId="0" fontId="0" fillId="3" borderId="1" xfId="0" applyFill="1" applyBorder="1"/>
    <xf numFmtId="44" fontId="0" fillId="3" borderId="1" xfId="1" applyFont="1" applyFill="1" applyBorder="1" applyAlignment="1">
      <alignment horizontal="center" vertical="center" wrapText="1"/>
    </xf>
    <xf numFmtId="166" fontId="0" fillId="0" borderId="1" xfId="1" applyNumberFormat="1" applyFont="1" applyBorder="1" applyAlignment="1">
      <alignment horizontal="center" vertical="center" wrapText="1"/>
    </xf>
    <xf numFmtId="166" fontId="0" fillId="3" borderId="1" xfId="1" applyNumberFormat="1" applyFont="1" applyFill="1" applyBorder="1" applyAlignment="1">
      <alignment horizontal="center" vertical="center" wrapText="1"/>
    </xf>
    <xf numFmtId="0" fontId="9" fillId="5" borderId="0" xfId="2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0" fontId="5" fillId="5" borderId="0" xfId="0" applyFont="1" applyFill="1"/>
    <xf numFmtId="0" fontId="0" fillId="5" borderId="0" xfId="0" applyFill="1" applyAlignment="1">
      <alignment vertical="center"/>
    </xf>
    <xf numFmtId="44" fontId="0" fillId="5" borderId="0" xfId="0" applyNumberFormat="1" applyFill="1"/>
    <xf numFmtId="0" fontId="9" fillId="5" borderId="0" xfId="2" applyFill="1" applyAlignment="1">
      <alignment horizontal="left"/>
    </xf>
    <xf numFmtId="0" fontId="7" fillId="5" borderId="0" xfId="0" applyFont="1" applyFill="1" applyAlignment="1">
      <alignment horizontal="center" vertical="center" textRotation="90"/>
    </xf>
    <xf numFmtId="0" fontId="6" fillId="5" borderId="0" xfId="0" applyFont="1" applyFill="1" applyAlignment="1">
      <alignment horizontal="center" vertical="center" textRotation="90"/>
    </xf>
    <xf numFmtId="165" fontId="0" fillId="5" borderId="0" xfId="0" applyNumberFormat="1" applyFill="1"/>
    <xf numFmtId="0" fontId="18" fillId="0" borderId="0" xfId="0" applyFont="1" applyAlignment="1">
      <alignment horizontal="left" vertical="center" indent="1"/>
    </xf>
    <xf numFmtId="164" fontId="0" fillId="0" borderId="1" xfId="1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167" fontId="0" fillId="0" borderId="0" xfId="6" applyNumberFormat="1" applyFont="1"/>
    <xf numFmtId="0" fontId="1" fillId="0" borderId="0" xfId="5"/>
    <xf numFmtId="165" fontId="10" fillId="0" borderId="1" xfId="1" applyNumberFormat="1" applyFont="1" applyFill="1" applyBorder="1" applyAlignment="1">
      <alignment horizontal="center" vertical="center" wrapText="1"/>
    </xf>
    <xf numFmtId="166" fontId="5" fillId="0" borderId="1" xfId="1" applyNumberFormat="1" applyFont="1" applyFill="1" applyBorder="1" applyAlignment="1">
      <alignment horizontal="center" vertical="center" wrapText="1"/>
    </xf>
    <xf numFmtId="164" fontId="0" fillId="0" borderId="1" xfId="1" applyNumberFormat="1" applyFont="1" applyFill="1" applyBorder="1"/>
    <xf numFmtId="0" fontId="0" fillId="5" borderId="0" xfId="0" applyFill="1" applyAlignment="1">
      <alignment horizontal="left"/>
    </xf>
    <xf numFmtId="3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4" borderId="0" xfId="0" applyFont="1" applyFill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4" fillId="2" borderId="1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9" fillId="5" borderId="0" xfId="2" applyFill="1" applyAlignment="1">
      <alignment horizontal="center"/>
    </xf>
    <xf numFmtId="0" fontId="19" fillId="0" borderId="0" xfId="0" applyFont="1" applyAlignment="1">
      <alignment horizontal="center" wrapText="1"/>
    </xf>
    <xf numFmtId="0" fontId="17" fillId="10" borderId="0" xfId="0" applyFont="1" applyFill="1" applyAlignment="1">
      <alignment horizontal="center" vertical="center" textRotation="90"/>
    </xf>
    <xf numFmtId="0" fontId="17" fillId="6" borderId="3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center"/>
    </xf>
    <xf numFmtId="0" fontId="17" fillId="6" borderId="4" xfId="0" applyFont="1" applyFill="1" applyBorder="1" applyAlignment="1">
      <alignment horizontal="center"/>
    </xf>
    <xf numFmtId="0" fontId="9" fillId="0" borderId="0" xfId="2" applyAlignment="1">
      <alignment horizontal="left"/>
    </xf>
    <xf numFmtId="0" fontId="17" fillId="3" borderId="0" xfId="0" applyFont="1" applyFill="1" applyAlignment="1">
      <alignment horizontal="center" vertical="center" textRotation="90"/>
    </xf>
    <xf numFmtId="0" fontId="17" fillId="7" borderId="0" xfId="0" applyFont="1" applyFill="1" applyAlignment="1">
      <alignment horizontal="center" vertical="center" textRotation="90"/>
    </xf>
    <xf numFmtId="0" fontId="17" fillId="8" borderId="0" xfId="0" applyFont="1" applyFill="1" applyAlignment="1">
      <alignment horizontal="center" vertical="center" textRotation="90"/>
    </xf>
    <xf numFmtId="0" fontId="17" fillId="9" borderId="0" xfId="0" applyFont="1" applyFill="1" applyAlignment="1">
      <alignment horizontal="center" vertical="center" textRotation="90"/>
    </xf>
    <xf numFmtId="0" fontId="0" fillId="0" borderId="0" xfId="0" applyAlignment="1">
      <alignment horizontal="center"/>
    </xf>
    <xf numFmtId="0" fontId="7" fillId="5" borderId="2" xfId="0" applyFont="1" applyFill="1" applyBorder="1" applyAlignment="1">
      <alignment horizontal="center" vertical="center" textRotation="90"/>
    </xf>
    <xf numFmtId="0" fontId="9" fillId="5" borderId="0" xfId="2" applyFill="1" applyAlignment="1">
      <alignment horizontal="left"/>
    </xf>
    <xf numFmtId="0" fontId="12" fillId="0" borderId="2" xfId="0" applyFont="1" applyBorder="1" applyAlignment="1">
      <alignment horizontal="center" vertical="center" textRotation="90"/>
    </xf>
    <xf numFmtId="0" fontId="7" fillId="0" borderId="2" xfId="0" applyFont="1" applyBorder="1" applyAlignment="1">
      <alignment horizontal="center" vertical="center" textRotation="90"/>
    </xf>
    <xf numFmtId="0" fontId="0" fillId="5" borderId="0" xfId="0" applyFill="1" applyAlignment="1">
      <alignment horizontal="left"/>
    </xf>
    <xf numFmtId="0" fontId="11" fillId="2" borderId="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textRotation="90"/>
    </xf>
    <xf numFmtId="0" fontId="12" fillId="5" borderId="2" xfId="0" applyFont="1" applyFill="1" applyBorder="1" applyAlignment="1">
      <alignment horizontal="center" vertical="center" textRotation="90"/>
    </xf>
    <xf numFmtId="0" fontId="9" fillId="0" borderId="0" xfId="2" applyFill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textRotation="90"/>
    </xf>
    <xf numFmtId="0" fontId="0" fillId="0" borderId="0" xfId="0" applyFill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17" xfId="0" applyFill="1" applyBorder="1" applyAlignment="1">
      <alignment horizontal="center" wrapText="1"/>
    </xf>
    <xf numFmtId="0" fontId="0" fillId="0" borderId="0" xfId="0" applyFill="1" applyAlignment="1">
      <alignment horizontal="center" wrapText="1"/>
    </xf>
  </cellXfs>
  <cellStyles count="7">
    <cellStyle name="Lien hypertexte" xfId="2" builtinId="8"/>
    <cellStyle name="Milliers" xfId="3" builtinId="3"/>
    <cellStyle name="Milliers 2" xfId="6" xr:uid="{12185065-750F-4C82-A825-742509B564BE}"/>
    <cellStyle name="Monétaire" xfId="1" builtinId="4"/>
    <cellStyle name="Normal" xfId="0" builtinId="0"/>
    <cellStyle name="Normal 2" xfId="5" xr:uid="{F74939FF-13AA-433A-A442-64051AF2FD77}"/>
    <cellStyle name="Pourcentage" xfId="4" builtinId="5"/>
  </cellStyles>
  <dxfs count="0"/>
  <tableStyles count="0" defaultTableStyle="TableStyleMedium2" defaultPivotStyle="PivotStyleLight16"/>
  <colors>
    <mruColors>
      <color rgb="FFF09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15240</xdr:rowOff>
    </xdr:from>
    <xdr:to>
      <xdr:col>9</xdr:col>
      <xdr:colOff>381145</xdr:colOff>
      <xdr:row>1</xdr:row>
      <xdr:rowOff>7994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AB492EC-7DFF-4586-ABFA-9B30B834F893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11" t="1363" b="88508"/>
        <a:stretch/>
      </xdr:blipFill>
      <xdr:spPr bwMode="auto">
        <a:xfrm>
          <a:off x="68580" y="15240"/>
          <a:ext cx="6774325" cy="104431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ang-fic079\projets$\sites\Projets_Awiplan\F375\AwiplanExt-Referentiel\Rendus\Rapports\rapport_ref_metropole_2020\matrice_recap_05protege_ref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s"/>
      <sheetName val="matrices_recap"/>
      <sheetName val="légende"/>
      <sheetName val="Listes"/>
      <sheetName val="percentiles"/>
      <sheetName val="Rqt_une_ligne_matrice"/>
      <sheetName val="TCD"/>
      <sheetName val="Ref2018_ech_constant"/>
      <sheetName val="Financemen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showGridLines="0" tabSelected="1" zoomScaleNormal="100" workbookViewId="0"/>
  </sheetViews>
  <sheetFormatPr baseColWidth="10" defaultColWidth="11.44140625" defaultRowHeight="14.4" x14ac:dyDescent="0.3"/>
  <cols>
    <col min="1" max="1" width="6" customWidth="1"/>
    <col min="2" max="3" width="12.109375" customWidth="1"/>
    <col min="4" max="4" width="13" customWidth="1"/>
    <col min="5" max="6" width="12.109375" customWidth="1"/>
    <col min="7" max="7" width="9.33203125" customWidth="1"/>
    <col min="9" max="9" width="6" customWidth="1"/>
  </cols>
  <sheetData>
    <row r="1" spans="1:10" ht="82.95" customHeight="1" x14ac:dyDescent="0.3"/>
    <row r="2" spans="1:10" ht="18" x14ac:dyDescent="0.35">
      <c r="A2" s="81" t="s">
        <v>0</v>
      </c>
      <c r="B2" s="81"/>
      <c r="C2" s="81"/>
      <c r="D2" s="81"/>
      <c r="E2" s="81"/>
      <c r="F2" s="81"/>
      <c r="G2" s="81"/>
      <c r="H2" s="81"/>
      <c r="I2" s="81"/>
    </row>
    <row r="3" spans="1:10" ht="15" thickBot="1" x14ac:dyDescent="0.35">
      <c r="A3" s="59"/>
      <c r="B3" s="59"/>
      <c r="C3" s="59"/>
      <c r="D3" s="59"/>
      <c r="E3" s="59"/>
      <c r="F3" s="59"/>
      <c r="G3" s="59"/>
      <c r="H3" s="59"/>
      <c r="I3" s="59"/>
      <c r="J3" s="70"/>
    </row>
    <row r="4" spans="1:10" ht="14.4" customHeight="1" x14ac:dyDescent="0.3">
      <c r="A4" s="59"/>
      <c r="B4" s="82" t="s">
        <v>117</v>
      </c>
      <c r="C4" s="83"/>
      <c r="D4" s="83"/>
      <c r="E4" s="83"/>
      <c r="F4" s="83"/>
      <c r="G4" s="83"/>
      <c r="H4" s="84"/>
      <c r="J4" s="70"/>
    </row>
    <row r="5" spans="1:10" x14ac:dyDescent="0.3">
      <c r="A5" s="59"/>
      <c r="B5" s="85"/>
      <c r="C5" s="86"/>
      <c r="D5" s="86"/>
      <c r="E5" s="86"/>
      <c r="F5" s="86"/>
      <c r="G5" s="86"/>
      <c r="H5" s="87"/>
      <c r="J5" s="70"/>
    </row>
    <row r="6" spans="1:10" x14ac:dyDescent="0.3">
      <c r="A6" s="59"/>
      <c r="B6" s="85"/>
      <c r="C6" s="86"/>
      <c r="D6" s="86"/>
      <c r="E6" s="86"/>
      <c r="F6" s="86"/>
      <c r="G6" s="86"/>
      <c r="H6" s="87"/>
    </row>
    <row r="7" spans="1:10" x14ac:dyDescent="0.3">
      <c r="A7" s="59"/>
      <c r="B7" s="85"/>
      <c r="C7" s="86"/>
      <c r="D7" s="86"/>
      <c r="E7" s="86"/>
      <c r="F7" s="86"/>
      <c r="G7" s="86"/>
      <c r="H7" s="87"/>
    </row>
    <row r="8" spans="1:10" ht="32.25" customHeight="1" thickBot="1" x14ac:dyDescent="0.35">
      <c r="A8" s="59"/>
      <c r="B8" s="88"/>
      <c r="C8" s="89"/>
      <c r="D8" s="89"/>
      <c r="E8" s="89"/>
      <c r="F8" s="89"/>
      <c r="G8" s="89"/>
      <c r="H8" s="90"/>
    </row>
    <row r="9" spans="1:10" x14ac:dyDescent="0.3">
      <c r="A9" s="59"/>
      <c r="B9" s="59"/>
      <c r="C9" s="59"/>
      <c r="D9" s="59"/>
      <c r="E9" s="59"/>
      <c r="F9" s="59"/>
      <c r="G9" s="59"/>
      <c r="H9" s="59"/>
    </row>
    <row r="10" spans="1:10" x14ac:dyDescent="0.3">
      <c r="A10" s="59"/>
      <c r="B10" s="91" t="s">
        <v>1</v>
      </c>
      <c r="C10" s="92"/>
      <c r="D10" s="92"/>
      <c r="E10" s="92"/>
      <c r="F10" s="92"/>
      <c r="G10" s="92"/>
      <c r="H10" s="92"/>
    </row>
    <row r="11" spans="1:10" x14ac:dyDescent="0.3">
      <c r="A11" s="59"/>
      <c r="B11" s="93" t="s">
        <v>2</v>
      </c>
      <c r="C11" s="93"/>
      <c r="D11" s="93"/>
      <c r="E11" s="93"/>
      <c r="F11" s="93"/>
      <c r="G11" s="93"/>
      <c r="H11" s="93"/>
    </row>
    <row r="12" spans="1:10" x14ac:dyDescent="0.3">
      <c r="A12" s="59"/>
      <c r="B12" s="93" t="s">
        <v>3</v>
      </c>
      <c r="C12" s="93"/>
      <c r="D12" s="93"/>
      <c r="E12" s="93"/>
      <c r="F12" s="93"/>
      <c r="G12" s="93"/>
      <c r="H12" s="93"/>
    </row>
    <row r="13" spans="1:10" x14ac:dyDescent="0.3">
      <c r="A13" s="59"/>
      <c r="B13" s="93" t="s">
        <v>4</v>
      </c>
      <c r="C13" s="93"/>
      <c r="D13" s="93"/>
      <c r="E13" s="93"/>
      <c r="F13" s="93"/>
      <c r="G13" s="93"/>
      <c r="H13" s="93"/>
    </row>
    <row r="14" spans="1:10" x14ac:dyDescent="0.3">
      <c r="A14" s="59"/>
      <c r="B14" s="93" t="s">
        <v>5</v>
      </c>
      <c r="C14" s="93"/>
      <c r="D14" s="93"/>
      <c r="E14" s="93"/>
      <c r="F14" s="93"/>
      <c r="G14" s="93"/>
      <c r="H14" s="93"/>
    </row>
    <row r="15" spans="1:10" x14ac:dyDescent="0.3">
      <c r="A15" s="59"/>
      <c r="B15" s="93" t="s">
        <v>6</v>
      </c>
      <c r="C15" s="93"/>
      <c r="D15" s="93"/>
      <c r="E15" s="93"/>
      <c r="F15" s="93"/>
      <c r="G15" s="93"/>
      <c r="H15" s="93"/>
    </row>
    <row r="16" spans="1:10" x14ac:dyDescent="0.3">
      <c r="A16" s="59"/>
      <c r="B16" s="93" t="s">
        <v>7</v>
      </c>
      <c r="C16" s="93"/>
      <c r="D16" s="93"/>
      <c r="E16" s="93"/>
      <c r="F16" s="93"/>
      <c r="G16" s="93"/>
      <c r="H16" s="93"/>
    </row>
    <row r="17" spans="1:8" x14ac:dyDescent="0.3">
      <c r="A17" s="59"/>
      <c r="B17" s="93" t="s">
        <v>8</v>
      </c>
      <c r="C17" s="93"/>
      <c r="D17" s="93"/>
      <c r="E17" s="93"/>
      <c r="F17" s="93"/>
      <c r="G17" s="93"/>
      <c r="H17" s="93"/>
    </row>
    <row r="18" spans="1:8" x14ac:dyDescent="0.3">
      <c r="A18" s="59"/>
      <c r="B18" s="93" t="s">
        <v>9</v>
      </c>
      <c r="C18" s="93"/>
      <c r="D18" s="93"/>
      <c r="E18" s="93"/>
      <c r="F18" s="93"/>
      <c r="G18" s="93"/>
      <c r="H18" s="93"/>
    </row>
    <row r="19" spans="1:8" x14ac:dyDescent="0.3">
      <c r="A19" s="59"/>
      <c r="B19" s="93" t="s">
        <v>10</v>
      </c>
      <c r="C19" s="93"/>
      <c r="D19" s="93"/>
      <c r="E19" s="93"/>
      <c r="F19" s="93"/>
      <c r="G19" s="93"/>
      <c r="H19" s="93"/>
    </row>
    <row r="20" spans="1:8" x14ac:dyDescent="0.3">
      <c r="A20" s="59"/>
      <c r="B20" s="93" t="s">
        <v>11</v>
      </c>
      <c r="C20" s="93"/>
      <c r="D20" s="93"/>
      <c r="E20" s="93"/>
      <c r="F20" s="93"/>
      <c r="G20" s="93"/>
      <c r="H20" s="93"/>
    </row>
    <row r="21" spans="1:8" x14ac:dyDescent="0.3">
      <c r="A21" s="59"/>
      <c r="B21" s="59"/>
      <c r="C21" s="59"/>
      <c r="D21" s="59"/>
      <c r="E21" s="59"/>
      <c r="F21" s="59"/>
      <c r="G21" s="59"/>
      <c r="H21" s="59"/>
    </row>
    <row r="22" spans="1:8" ht="26.4" customHeight="1" x14ac:dyDescent="0.3">
      <c r="A22" s="59"/>
      <c r="B22" s="94" t="s">
        <v>118</v>
      </c>
      <c r="C22" s="94"/>
      <c r="D22" s="94"/>
      <c r="E22" s="94"/>
      <c r="F22" s="94"/>
      <c r="G22" s="94"/>
      <c r="H22" s="94"/>
    </row>
    <row r="23" spans="1:8" x14ac:dyDescent="0.3">
      <c r="A23" s="59"/>
      <c r="B23" s="59"/>
      <c r="C23" s="59"/>
      <c r="D23" s="59"/>
      <c r="E23" s="59"/>
      <c r="F23" s="59"/>
      <c r="G23" s="59"/>
      <c r="H23" s="59"/>
    </row>
    <row r="24" spans="1:8" x14ac:dyDescent="0.3">
      <c r="A24" s="59"/>
      <c r="B24" s="59"/>
      <c r="C24" s="59"/>
      <c r="D24" s="59"/>
      <c r="E24" s="59"/>
      <c r="F24" s="59"/>
      <c r="G24" s="59"/>
      <c r="H24" s="59"/>
    </row>
    <row r="25" spans="1:8" x14ac:dyDescent="0.3">
      <c r="A25" s="59"/>
      <c r="B25" s="59"/>
      <c r="C25" s="59"/>
      <c r="D25" s="59"/>
      <c r="E25" s="59"/>
      <c r="F25" s="59"/>
      <c r="G25" s="59"/>
      <c r="H25" s="59"/>
    </row>
    <row r="26" spans="1:8" x14ac:dyDescent="0.3">
      <c r="A26" s="59"/>
      <c r="B26" s="59"/>
      <c r="C26" s="59"/>
      <c r="D26" s="59"/>
      <c r="E26" s="59"/>
      <c r="F26" s="59"/>
      <c r="G26" s="59"/>
      <c r="H26" s="59"/>
    </row>
    <row r="27" spans="1:8" x14ac:dyDescent="0.3">
      <c r="A27" s="59"/>
      <c r="B27" s="59"/>
      <c r="C27" s="59"/>
      <c r="D27" s="59"/>
      <c r="E27" s="59"/>
      <c r="F27" s="59"/>
      <c r="G27" s="59"/>
      <c r="H27" s="59"/>
    </row>
    <row r="28" spans="1:8" x14ac:dyDescent="0.3">
      <c r="A28" s="59"/>
      <c r="B28" s="59"/>
      <c r="C28" s="59"/>
      <c r="D28" s="59"/>
      <c r="E28" s="59"/>
      <c r="F28" s="59"/>
      <c r="G28" s="59"/>
      <c r="H28" s="59"/>
    </row>
    <row r="29" spans="1:8" x14ac:dyDescent="0.3">
      <c r="A29" s="59"/>
      <c r="B29" s="59"/>
      <c r="C29" s="59"/>
      <c r="D29" s="59"/>
      <c r="E29" s="59"/>
      <c r="F29" s="59"/>
      <c r="G29" s="59"/>
      <c r="H29" s="59"/>
    </row>
    <row r="30" spans="1:8" x14ac:dyDescent="0.3">
      <c r="A30" s="59"/>
      <c r="B30" s="59"/>
      <c r="C30" s="59"/>
      <c r="D30" s="59"/>
      <c r="E30" s="59"/>
      <c r="F30" s="59"/>
      <c r="G30" s="59"/>
      <c r="H30" s="59"/>
    </row>
  </sheetData>
  <sheetProtection sheet="1" formatCells="0" formatColumns="0" formatRows="0" insertColumns="0" insertRows="0" insertHyperlinks="0" deleteColumns="0" deleteRows="0" sort="0" autoFilter="0" pivotTables="0"/>
  <mergeCells count="14">
    <mergeCell ref="B13:H13"/>
    <mergeCell ref="B14:H14"/>
    <mergeCell ref="B15:H15"/>
    <mergeCell ref="B22:H22"/>
    <mergeCell ref="B16:H16"/>
    <mergeCell ref="B17:H17"/>
    <mergeCell ref="B18:H18"/>
    <mergeCell ref="B19:H19"/>
    <mergeCell ref="B20:H20"/>
    <mergeCell ref="A2:I2"/>
    <mergeCell ref="B4:H8"/>
    <mergeCell ref="B10:H10"/>
    <mergeCell ref="B11:H11"/>
    <mergeCell ref="B12:H12"/>
  </mergeCells>
  <hyperlinks>
    <hyperlink ref="B13" location="'Tous flux'!A1" display="Fiche 1 - Tous flux" xr:uid="{00000000-0004-0000-0000-000000000000}"/>
    <hyperlink ref="B14" location="OMR!A1" display="Fiche 2 - OMR" xr:uid="{00000000-0004-0000-0000-000001000000}"/>
    <hyperlink ref="B15" location="'Emb. Verre'!A1" display="Fiche 3 - Emballages en verre" xr:uid="{00000000-0004-0000-0000-000002000000}"/>
    <hyperlink ref="B16" location="'Papiers et Emb. HV'!A1" display="Fiche 4 - Papiers et emballages hors verre" xr:uid="{00000000-0004-0000-0000-000003000000}"/>
    <hyperlink ref="B17" location="Déchèteries!A1" display="Fiche 5 - Déchèteries" xr:uid="{00000000-0004-0000-0000-000004000000}"/>
    <hyperlink ref="B18" location="'Autres flux'!A1" display="Fiche 6 - Autres flux" xr:uid="{00000000-0004-0000-0000-000005000000}"/>
    <hyperlink ref="B19" location="'Tarif. Incitative'!A1" display="Fiche 7 - Tarification Incitative" xr:uid="{00000000-0004-0000-0000-000006000000}"/>
    <hyperlink ref="B20" location="Evolution!A1" display="Fiche 8 - Evolution" xr:uid="{00000000-0004-0000-0000-000007000000}"/>
    <hyperlink ref="B11:D11" location="'Synthèse €hab.'!A1" display="Synthèse €/hab." xr:uid="{0C275443-005D-4BE0-B4C7-5ACBF8DFB92F}"/>
    <hyperlink ref="B12:D12" location="'Synthèse €tonne'!A1" display="Synthèse €/tonne" xr:uid="{AA2F7AF8-29E0-402A-B497-C85907CB9F3C}"/>
    <hyperlink ref="B20:D20" location="Évolution!A1" display="Évolution" xr:uid="{63A6CCD5-12EB-4835-8BF8-4A6A48C3AFFD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6A41-DB0C-4EC9-A07A-151A0492B3AB}">
  <dimension ref="A1:AK37"/>
  <sheetViews>
    <sheetView showGridLines="0" zoomScaleNormal="100" workbookViewId="0">
      <pane xSplit="1" ySplit="2" topLeftCell="B3" activePane="bottomRight" state="frozen"/>
      <selection activeCell="H25" sqref="H25"/>
      <selection pane="topRight" activeCell="H25" sqref="H25"/>
      <selection pane="bottomLeft" activeCell="H25" sqref="H25"/>
      <selection pane="bottomRight" activeCell="H25" sqref="H25"/>
    </sheetView>
  </sheetViews>
  <sheetFormatPr baseColWidth="10" defaultColWidth="11.44140625" defaultRowHeight="14.4" x14ac:dyDescent="0.3"/>
  <cols>
    <col min="1" max="1" width="5.109375" bestFit="1" customWidth="1"/>
    <col min="2" max="2" width="2.33203125" customWidth="1"/>
    <col min="8" max="8" width="2.33203125" customWidth="1"/>
    <col min="14" max="14" width="2.33203125" customWidth="1"/>
    <col min="20" max="20" width="2.33203125" customWidth="1"/>
    <col min="26" max="26" width="2.33203125" customWidth="1"/>
    <col min="32" max="32" width="2.33203125" customWidth="1"/>
  </cols>
  <sheetData>
    <row r="1" spans="1:37" x14ac:dyDescent="0.3">
      <c r="C1" s="59"/>
      <c r="D1" s="99" t="s">
        <v>12</v>
      </c>
      <c r="E1" s="99"/>
      <c r="F1" s="99"/>
      <c r="G1" s="99"/>
      <c r="H1" s="99"/>
      <c r="I1" s="99"/>
      <c r="J1" s="99"/>
      <c r="K1" s="99"/>
      <c r="L1" s="1"/>
    </row>
    <row r="2" spans="1:37" s="52" customFormat="1" ht="21" x14ac:dyDescent="0.4">
      <c r="C2" s="96" t="s">
        <v>13</v>
      </c>
      <c r="D2" s="97"/>
      <c r="E2" s="97"/>
      <c r="F2" s="97"/>
      <c r="G2" s="98"/>
      <c r="I2" s="96" t="s">
        <v>14</v>
      </c>
      <c r="J2" s="97"/>
      <c r="K2" s="97"/>
      <c r="L2" s="97"/>
      <c r="M2" s="98"/>
      <c r="O2" s="96" t="s">
        <v>15</v>
      </c>
      <c r="P2" s="97"/>
      <c r="Q2" s="97"/>
      <c r="R2" s="97"/>
      <c r="S2" s="98"/>
      <c r="U2" s="96" t="s">
        <v>16</v>
      </c>
      <c r="V2" s="97"/>
      <c r="W2" s="97"/>
      <c r="X2" s="97"/>
      <c r="Y2" s="98"/>
      <c r="AA2" s="96" t="s">
        <v>17</v>
      </c>
      <c r="AB2" s="97"/>
      <c r="AC2" s="97"/>
      <c r="AD2" s="97"/>
      <c r="AE2" s="98"/>
      <c r="AG2" s="96" t="s">
        <v>18</v>
      </c>
      <c r="AH2" s="97"/>
      <c r="AI2" s="97"/>
      <c r="AJ2" s="97"/>
      <c r="AK2" s="98"/>
    </row>
    <row r="4" spans="1:37" ht="28.8" x14ac:dyDescent="0.3">
      <c r="A4" s="100" t="s">
        <v>5</v>
      </c>
      <c r="D4" s="2" t="s">
        <v>19</v>
      </c>
      <c r="E4" s="2" t="s">
        <v>20</v>
      </c>
      <c r="F4" s="2" t="s">
        <v>21</v>
      </c>
      <c r="G4" s="2" t="s">
        <v>22</v>
      </c>
      <c r="J4" s="2" t="s">
        <v>19</v>
      </c>
      <c r="K4" s="2" t="s">
        <v>20</v>
      </c>
      <c r="L4" s="2" t="s">
        <v>21</v>
      </c>
      <c r="M4" s="2" t="s">
        <v>22</v>
      </c>
      <c r="P4" s="2" t="s">
        <v>19</v>
      </c>
      <c r="Q4" s="2" t="s">
        <v>20</v>
      </c>
      <c r="R4" s="2" t="s">
        <v>21</v>
      </c>
      <c r="S4" s="2" t="s">
        <v>22</v>
      </c>
      <c r="V4" s="2" t="s">
        <v>19</v>
      </c>
      <c r="W4" s="2" t="s">
        <v>20</v>
      </c>
      <c r="X4" s="2" t="s">
        <v>21</v>
      </c>
      <c r="Y4" s="2" t="s">
        <v>22</v>
      </c>
      <c r="AB4" s="2" t="s">
        <v>19</v>
      </c>
      <c r="AC4" s="2" t="s">
        <v>20</v>
      </c>
      <c r="AD4" s="2" t="s">
        <v>21</v>
      </c>
      <c r="AE4" s="2" t="s">
        <v>22</v>
      </c>
      <c r="AH4" s="2" t="s">
        <v>19</v>
      </c>
      <c r="AI4" s="2" t="s">
        <v>20</v>
      </c>
      <c r="AJ4" s="2" t="s">
        <v>21</v>
      </c>
      <c r="AK4" s="2" t="s">
        <v>22</v>
      </c>
    </row>
    <row r="5" spans="1:37" x14ac:dyDescent="0.3">
      <c r="A5" s="100"/>
      <c r="C5" s="12" t="s">
        <v>23</v>
      </c>
      <c r="D5" s="53">
        <f>OMR!E21</f>
        <v>99.837633050799909</v>
      </c>
      <c r="E5" s="53">
        <f>OMR!F21</f>
        <v>95.861200000000011</v>
      </c>
      <c r="F5" s="53">
        <f>OMR!G21</f>
        <v>95.654600000000002</v>
      </c>
      <c r="G5" s="53">
        <f>OMR!H21</f>
        <v>93.603999999999999</v>
      </c>
      <c r="I5" s="12" t="s">
        <v>23</v>
      </c>
      <c r="J5" s="53">
        <v>77.957999999999998</v>
      </c>
      <c r="K5" s="53">
        <v>78.319999999999993</v>
      </c>
      <c r="L5" s="53">
        <v>77.960000000000008</v>
      </c>
      <c r="M5" s="53">
        <v>77.452600000000004</v>
      </c>
      <c r="O5" s="12" t="s">
        <v>23</v>
      </c>
      <c r="P5" s="53">
        <v>86.787800000000033</v>
      </c>
      <c r="Q5" s="53">
        <v>85.407000000000011</v>
      </c>
      <c r="R5" s="53">
        <v>85.080600000000004</v>
      </c>
      <c r="S5" s="53">
        <v>83.681600000000003</v>
      </c>
      <c r="U5" s="12" t="s">
        <v>23</v>
      </c>
      <c r="V5" s="53">
        <v>101.10600000000001</v>
      </c>
      <c r="W5" s="53">
        <v>97.999000000000009</v>
      </c>
      <c r="X5" s="53">
        <v>97.7898</v>
      </c>
      <c r="Y5" s="53">
        <v>97.7898</v>
      </c>
      <c r="AA5" s="12" t="s">
        <v>23</v>
      </c>
      <c r="AB5" s="53">
        <v>111.74548768003183</v>
      </c>
      <c r="AC5" s="53">
        <v>83.390100000000004</v>
      </c>
      <c r="AD5" s="53">
        <v>82.835400000000007</v>
      </c>
      <c r="AE5" s="53">
        <v>82.317700000000002</v>
      </c>
      <c r="AG5" s="12" t="s">
        <v>23</v>
      </c>
      <c r="AH5" s="53">
        <v>146.06966406110416</v>
      </c>
      <c r="AI5" s="53">
        <v>152.7783</v>
      </c>
      <c r="AJ5" s="53">
        <v>152.7783</v>
      </c>
      <c r="AK5" s="53">
        <v>152.7783</v>
      </c>
    </row>
    <row r="6" spans="1:37" x14ac:dyDescent="0.3">
      <c r="A6" s="100"/>
      <c r="C6" s="54" t="s">
        <v>24</v>
      </c>
      <c r="D6" s="55">
        <f>OMR!E22</f>
        <v>76.364999999999995</v>
      </c>
      <c r="E6" s="55">
        <f>OMR!F22</f>
        <v>72.621000000000009</v>
      </c>
      <c r="F6" s="55">
        <f>OMR!G22</f>
        <v>72.548000000000002</v>
      </c>
      <c r="G6" s="55">
        <f>OMR!H22</f>
        <v>71.884500000000003</v>
      </c>
      <c r="I6" s="54" t="s">
        <v>24</v>
      </c>
      <c r="J6" s="55">
        <v>68.898389928966054</v>
      </c>
      <c r="K6" s="55">
        <v>63.82</v>
      </c>
      <c r="L6" s="55">
        <v>63.713000000000001</v>
      </c>
      <c r="M6" s="55">
        <v>63.496000000000002</v>
      </c>
      <c r="O6" s="54" t="s">
        <v>24</v>
      </c>
      <c r="P6" s="55">
        <v>71.680999999999997</v>
      </c>
      <c r="Q6" s="55">
        <v>67.863</v>
      </c>
      <c r="R6" s="55">
        <v>67.391000000000005</v>
      </c>
      <c r="S6" s="55">
        <v>66.489999999999995</v>
      </c>
      <c r="U6" s="54" t="s">
        <v>24</v>
      </c>
      <c r="V6" s="55">
        <v>77.02029998495631</v>
      </c>
      <c r="W6" s="55">
        <v>75.885000000000005</v>
      </c>
      <c r="X6" s="55">
        <v>75.632999999999996</v>
      </c>
      <c r="Y6" s="55">
        <v>75.632999999999996</v>
      </c>
      <c r="AA6" s="54" t="s">
        <v>24</v>
      </c>
      <c r="AB6" s="55">
        <v>78.169389190405155</v>
      </c>
      <c r="AC6" s="55">
        <v>72.181749999999994</v>
      </c>
      <c r="AD6" s="55">
        <v>71.913250000000005</v>
      </c>
      <c r="AE6" s="55">
        <v>70.890999999999991</v>
      </c>
      <c r="AG6" s="54" t="s">
        <v>24</v>
      </c>
      <c r="AH6" s="55">
        <v>126.09025</v>
      </c>
      <c r="AI6" s="55">
        <v>119.20824999999999</v>
      </c>
      <c r="AJ6" s="55">
        <v>119.07974999999999</v>
      </c>
      <c r="AK6" s="55">
        <v>118.167</v>
      </c>
    </row>
    <row r="7" spans="1:37" x14ac:dyDescent="0.3">
      <c r="A7" s="100"/>
      <c r="C7" s="12" t="s">
        <v>25</v>
      </c>
      <c r="D7" s="53">
        <f>OMR!E23</f>
        <v>69.60774034264179</v>
      </c>
      <c r="E7" s="53">
        <f>OMR!F23</f>
        <v>67.04232327380997</v>
      </c>
      <c r="F7" s="53">
        <f>OMR!G23</f>
        <v>66.663791603117303</v>
      </c>
      <c r="G7" s="53">
        <f>OMR!H23</f>
        <v>66.307237987382663</v>
      </c>
      <c r="I7" s="12" t="s">
        <v>26</v>
      </c>
      <c r="J7" s="53">
        <v>56.253</v>
      </c>
      <c r="K7" s="53">
        <v>54.1</v>
      </c>
      <c r="L7" s="53">
        <v>53.173999999999999</v>
      </c>
      <c r="M7" s="53">
        <v>52.756</v>
      </c>
      <c r="O7" s="12" t="s">
        <v>26</v>
      </c>
      <c r="P7" s="53">
        <v>60.221999999999994</v>
      </c>
      <c r="Q7" s="53">
        <v>55.994</v>
      </c>
      <c r="R7" s="53">
        <v>55.576000000000001</v>
      </c>
      <c r="S7" s="53">
        <v>55.304000000000002</v>
      </c>
      <c r="U7" s="12" t="s">
        <v>26</v>
      </c>
      <c r="V7" s="53">
        <v>61.701000000000001</v>
      </c>
      <c r="W7" s="53">
        <v>59.777999999999999</v>
      </c>
      <c r="X7" s="53">
        <v>59.131999999999998</v>
      </c>
      <c r="Y7" s="53">
        <v>58.473999999999997</v>
      </c>
      <c r="AA7" s="12" t="s">
        <v>26</v>
      </c>
      <c r="AB7" s="53">
        <v>68.236000000000004</v>
      </c>
      <c r="AC7" s="53">
        <v>63.511499999999998</v>
      </c>
      <c r="AD7" s="53">
        <v>62.832000000000001</v>
      </c>
      <c r="AE7" s="53">
        <v>62.406999999999996</v>
      </c>
      <c r="AG7" s="12" t="s">
        <v>26</v>
      </c>
      <c r="AH7" s="53">
        <v>92.658598880164348</v>
      </c>
      <c r="AI7" s="53">
        <v>87.099500000000006</v>
      </c>
      <c r="AJ7" s="53">
        <v>86.921500000000009</v>
      </c>
      <c r="AK7" s="53">
        <v>86.902999999999992</v>
      </c>
    </row>
    <row r="8" spans="1:37" x14ac:dyDescent="0.3">
      <c r="A8" s="100"/>
      <c r="C8" s="54" t="s">
        <v>27</v>
      </c>
      <c r="D8" s="55">
        <f>OMR!E24</f>
        <v>49.625</v>
      </c>
      <c r="E8" s="55">
        <f>OMR!F24</f>
        <v>46.548500000000004</v>
      </c>
      <c r="F8" s="55">
        <f>OMR!G24</f>
        <v>46.182500000000005</v>
      </c>
      <c r="G8" s="55">
        <f>OMR!H24</f>
        <v>45.746499999999997</v>
      </c>
      <c r="I8" s="54" t="s">
        <v>27</v>
      </c>
      <c r="J8" s="55">
        <v>44.694000000000003</v>
      </c>
      <c r="K8" s="55">
        <v>43.564999999999998</v>
      </c>
      <c r="L8" s="55">
        <v>43.167000000000002</v>
      </c>
      <c r="M8" s="55">
        <v>43.167000000000002</v>
      </c>
      <c r="O8" s="54" t="s">
        <v>27</v>
      </c>
      <c r="P8" s="55">
        <v>48.117802792116379</v>
      </c>
      <c r="Q8" s="55">
        <v>44.003</v>
      </c>
      <c r="R8" s="55">
        <v>43.887999999999998</v>
      </c>
      <c r="S8" s="55">
        <v>43.646000000000001</v>
      </c>
      <c r="U8" s="54" t="s">
        <v>27</v>
      </c>
      <c r="V8" s="55">
        <v>51.466000000000001</v>
      </c>
      <c r="W8" s="55">
        <v>47.673000000000002</v>
      </c>
      <c r="X8" s="55">
        <v>47.673000000000002</v>
      </c>
      <c r="Y8" s="55">
        <v>47.478999999999999</v>
      </c>
      <c r="AA8" s="54" t="s">
        <v>27</v>
      </c>
      <c r="AB8" s="55">
        <v>58.164157144032529</v>
      </c>
      <c r="AC8" s="55">
        <v>49.177750000000003</v>
      </c>
      <c r="AD8" s="55">
        <v>48.423249999999996</v>
      </c>
      <c r="AE8" s="55">
        <v>48.381999999999998</v>
      </c>
      <c r="AG8" s="54" t="s">
        <v>27</v>
      </c>
      <c r="AH8" s="55">
        <v>76.753749999999997</v>
      </c>
      <c r="AI8" s="55">
        <v>76.183750000000003</v>
      </c>
      <c r="AJ8" s="55">
        <v>75.76925</v>
      </c>
      <c r="AK8" s="55">
        <v>75.748999999999995</v>
      </c>
    </row>
    <row r="9" spans="1:37" x14ac:dyDescent="0.3">
      <c r="A9" s="100"/>
      <c r="C9" s="12" t="s">
        <v>28</v>
      </c>
      <c r="D9" s="53">
        <f>OMR!E25</f>
        <v>40.690520161373747</v>
      </c>
      <c r="E9" s="53">
        <f>OMR!F25</f>
        <v>37.64</v>
      </c>
      <c r="F9" s="53">
        <f>OMR!G25</f>
        <v>37.1282</v>
      </c>
      <c r="G9" s="53">
        <f>OMR!H25</f>
        <v>36.805800000000005</v>
      </c>
      <c r="I9" s="12" t="s">
        <v>28</v>
      </c>
      <c r="J9" s="53">
        <v>38.183941504178279</v>
      </c>
      <c r="K9" s="53">
        <v>35.789000000000001</v>
      </c>
      <c r="L9" s="53">
        <v>35.598599999999998</v>
      </c>
      <c r="M9" s="53">
        <v>34.593400000000003</v>
      </c>
      <c r="O9" s="12" t="s">
        <v>28</v>
      </c>
      <c r="P9" s="53">
        <v>38.4651</v>
      </c>
      <c r="Q9" s="53">
        <v>35.775600000000004</v>
      </c>
      <c r="R9" s="53">
        <v>35.670200000000001</v>
      </c>
      <c r="S9" s="53">
        <v>35.436599999999999</v>
      </c>
      <c r="U9" s="12" t="s">
        <v>28</v>
      </c>
      <c r="V9" s="53">
        <v>41.469586026704441</v>
      </c>
      <c r="W9" s="53">
        <v>37.500999999999998</v>
      </c>
      <c r="X9" s="53">
        <v>37.484000000000002</v>
      </c>
      <c r="Y9" s="53">
        <v>36.815400000000004</v>
      </c>
      <c r="AA9" s="12" t="s">
        <v>28</v>
      </c>
      <c r="AB9" s="53">
        <v>55.318868788871789</v>
      </c>
      <c r="AC9" s="53">
        <v>42.453699999999998</v>
      </c>
      <c r="AD9" s="53">
        <v>41.651600000000002</v>
      </c>
      <c r="AE9" s="53">
        <v>41.197200000000002</v>
      </c>
      <c r="AG9" s="12" t="s">
        <v>28</v>
      </c>
      <c r="AH9" s="53">
        <v>69.036867737157479</v>
      </c>
      <c r="AI9" s="53">
        <v>65.238900000000001</v>
      </c>
      <c r="AJ9" s="53">
        <v>64.98899999999999</v>
      </c>
      <c r="AK9" s="53">
        <v>63.497199999999999</v>
      </c>
    </row>
    <row r="11" spans="1:37" ht="28.8" x14ac:dyDescent="0.3">
      <c r="A11" s="101" t="s">
        <v>29</v>
      </c>
      <c r="D11" s="2" t="s">
        <v>19</v>
      </c>
      <c r="E11" s="2" t="s">
        <v>20</v>
      </c>
      <c r="F11" s="2" t="s">
        <v>21</v>
      </c>
      <c r="G11" s="2" t="s">
        <v>22</v>
      </c>
      <c r="J11" s="2" t="s">
        <v>19</v>
      </c>
      <c r="K11" s="2" t="s">
        <v>20</v>
      </c>
      <c r="L11" s="2" t="s">
        <v>21</v>
      </c>
      <c r="M11" s="2" t="s">
        <v>22</v>
      </c>
      <c r="P11" s="2" t="s">
        <v>19</v>
      </c>
      <c r="Q11" s="2" t="s">
        <v>20</v>
      </c>
      <c r="R11" s="2" t="s">
        <v>21</v>
      </c>
      <c r="S11" s="2" t="s">
        <v>22</v>
      </c>
      <c r="V11" s="2" t="s">
        <v>19</v>
      </c>
      <c r="W11" s="2" t="s">
        <v>20</v>
      </c>
      <c r="X11" s="2" t="s">
        <v>21</v>
      </c>
      <c r="Y11" s="2" t="s">
        <v>22</v>
      </c>
      <c r="AB11" s="2" t="s">
        <v>19</v>
      </c>
      <c r="AC11" s="2" t="s">
        <v>20</v>
      </c>
      <c r="AD11" s="2" t="s">
        <v>21</v>
      </c>
      <c r="AE11" s="2" t="s">
        <v>22</v>
      </c>
      <c r="AH11" s="2" t="s">
        <v>19</v>
      </c>
      <c r="AI11" s="2" t="s">
        <v>20</v>
      </c>
      <c r="AJ11" s="2" t="s">
        <v>21</v>
      </c>
      <c r="AK11" s="2" t="s">
        <v>22</v>
      </c>
    </row>
    <row r="12" spans="1:37" x14ac:dyDescent="0.3">
      <c r="A12" s="101"/>
      <c r="C12" s="12" t="s">
        <v>23</v>
      </c>
      <c r="D12" s="53">
        <f>'Emb. Verre'!E24</f>
        <v>6.6784000000000008</v>
      </c>
      <c r="E12" s="53">
        <f>'Emb. Verre'!F24</f>
        <v>5.4134000000000011</v>
      </c>
      <c r="F12" s="53">
        <f>'Emb. Verre'!G24</f>
        <v>4.9920000000000009</v>
      </c>
      <c r="G12" s="53">
        <f>'Emb. Verre'!H24</f>
        <v>4.8740000000000041</v>
      </c>
      <c r="I12" s="12" t="s">
        <v>23</v>
      </c>
      <c r="J12" s="53">
        <v>5.484</v>
      </c>
      <c r="K12" s="53">
        <v>4.3078000000000021</v>
      </c>
      <c r="L12" s="53">
        <v>3.7972000000000015</v>
      </c>
      <c r="M12" s="53">
        <v>3.6310000000000007</v>
      </c>
      <c r="O12" s="12" t="s">
        <v>23</v>
      </c>
      <c r="P12" s="53">
        <v>6.1649000000000056</v>
      </c>
      <c r="Q12" s="53">
        <v>4.9000000000000004</v>
      </c>
      <c r="R12" s="53">
        <v>4.458800000000001</v>
      </c>
      <c r="S12" s="53">
        <v>4.2332000000000027</v>
      </c>
      <c r="U12" s="12" t="s">
        <v>23</v>
      </c>
      <c r="V12" s="53">
        <v>6.1244000000000005</v>
      </c>
      <c r="W12" s="53">
        <v>5.3474000000000004</v>
      </c>
      <c r="X12" s="53">
        <v>4.9828000000000001</v>
      </c>
      <c r="Y12" s="53">
        <v>4.9680000000000009</v>
      </c>
      <c r="AA12" s="12" t="s">
        <v>23</v>
      </c>
      <c r="AB12" s="53">
        <v>5.8106</v>
      </c>
      <c r="AC12" s="53">
        <v>5.1314000000000002</v>
      </c>
      <c r="AD12" s="53">
        <v>4.6820000000000004</v>
      </c>
      <c r="AE12" s="53">
        <v>4.6596000000000002</v>
      </c>
      <c r="AG12" s="12" t="s">
        <v>23</v>
      </c>
      <c r="AH12" s="53">
        <v>13.5365</v>
      </c>
      <c r="AI12" s="53">
        <v>10.6106</v>
      </c>
      <c r="AJ12" s="53">
        <v>9.2681000000000022</v>
      </c>
      <c r="AK12" s="53">
        <v>9.2361000000000022</v>
      </c>
    </row>
    <row r="13" spans="1:37" x14ac:dyDescent="0.3">
      <c r="A13" s="101"/>
      <c r="C13" s="54" t="s">
        <v>24</v>
      </c>
      <c r="D13" s="54">
        <f>'Emb. Verre'!E25</f>
        <v>4.7510000000000003</v>
      </c>
      <c r="E13" s="55">
        <f>'Emb. Verre'!F25</f>
        <v>3.6225000000000001</v>
      </c>
      <c r="F13" s="55">
        <f>'Emb. Verre'!G25</f>
        <v>3.1260000000000003</v>
      </c>
      <c r="G13" s="55">
        <f>'Emb. Verre'!H25</f>
        <v>3.0455000000000001</v>
      </c>
      <c r="I13" s="54" t="s">
        <v>24</v>
      </c>
      <c r="J13" s="55">
        <v>4.2629999999999999</v>
      </c>
      <c r="K13" s="55">
        <v>3.1509999999999998</v>
      </c>
      <c r="L13" s="55">
        <v>2.665</v>
      </c>
      <c r="M13" s="55">
        <v>2.6360000000000001</v>
      </c>
      <c r="O13" s="54" t="s">
        <v>24</v>
      </c>
      <c r="P13" s="55">
        <v>4.5549999999999997</v>
      </c>
      <c r="Q13" s="55">
        <v>3.09</v>
      </c>
      <c r="R13" s="55">
        <v>2.6219999999999999</v>
      </c>
      <c r="S13" s="55">
        <v>2.5680000000000001</v>
      </c>
      <c r="U13" s="54" t="s">
        <v>24</v>
      </c>
      <c r="V13" s="55">
        <v>4.8419999999999996</v>
      </c>
      <c r="W13" s="55">
        <v>3.8149999999999999</v>
      </c>
      <c r="X13" s="55">
        <v>3.4</v>
      </c>
      <c r="Y13" s="55">
        <v>3.2690000000000001</v>
      </c>
      <c r="AA13" s="54" t="s">
        <v>24</v>
      </c>
      <c r="AB13" s="55">
        <v>4.6079999999999997</v>
      </c>
      <c r="AC13" s="55">
        <v>3.8109999999999999</v>
      </c>
      <c r="AD13" s="55">
        <v>3.63375</v>
      </c>
      <c r="AE13" s="55">
        <v>3.4387499999999998</v>
      </c>
      <c r="AG13" s="54" t="s">
        <v>24</v>
      </c>
      <c r="AH13" s="55">
        <v>9.2904999999999998</v>
      </c>
      <c r="AI13" s="55">
        <v>6.8892499999999997</v>
      </c>
      <c r="AJ13" s="55">
        <v>6.3282499999999997</v>
      </c>
      <c r="AK13" s="55">
        <v>6.1735000000000007</v>
      </c>
    </row>
    <row r="14" spans="1:37" x14ac:dyDescent="0.3">
      <c r="A14" s="101"/>
      <c r="C14" s="12" t="s">
        <v>25</v>
      </c>
      <c r="D14" s="53">
        <f>'Emb. Verre'!E26</f>
        <v>3.6161305661639922</v>
      </c>
      <c r="E14" s="53">
        <f>'Emb. Verre'!F26</f>
        <v>2.7376355903248877</v>
      </c>
      <c r="F14" s="53">
        <f>'Emb. Verre'!G26</f>
        <v>2.3492468381960112</v>
      </c>
      <c r="G14" s="53">
        <f>'Emb. Verre'!H26</f>
        <v>2.311280474424358</v>
      </c>
      <c r="I14" s="12" t="s">
        <v>26</v>
      </c>
      <c r="J14" s="53">
        <v>3.4870000000000001</v>
      </c>
      <c r="K14" s="53">
        <v>2.2599999999999998</v>
      </c>
      <c r="L14" s="53">
        <v>1.754</v>
      </c>
      <c r="M14" s="53">
        <v>1.6279999999999999</v>
      </c>
      <c r="O14" s="12" t="s">
        <v>26</v>
      </c>
      <c r="P14" s="53">
        <v>3.3890000000000002</v>
      </c>
      <c r="Q14" s="53">
        <v>2.2229999999999999</v>
      </c>
      <c r="R14" s="53">
        <v>1.7869999999999999</v>
      </c>
      <c r="S14" s="53">
        <v>1.6919999999999999</v>
      </c>
      <c r="U14" s="12" t="s">
        <v>26</v>
      </c>
      <c r="V14" s="53">
        <v>3.3220000000000001</v>
      </c>
      <c r="W14" s="53">
        <v>2.512</v>
      </c>
      <c r="X14" s="53">
        <v>2.0499999999999998</v>
      </c>
      <c r="Y14" s="53">
        <v>2.0489999999999999</v>
      </c>
      <c r="AA14" s="12" t="s">
        <v>26</v>
      </c>
      <c r="AB14" s="53">
        <v>2.9460000000000002</v>
      </c>
      <c r="AC14" s="53">
        <v>2.3330000000000002</v>
      </c>
      <c r="AD14" s="53">
        <v>2.04</v>
      </c>
      <c r="AE14" s="53">
        <v>2.0194999999999999</v>
      </c>
      <c r="AG14" s="12" t="s">
        <v>26</v>
      </c>
      <c r="AH14" s="53">
        <v>6.0634999999999994</v>
      </c>
      <c r="AI14" s="53">
        <v>4.4539999999999997</v>
      </c>
      <c r="AJ14" s="53">
        <v>3.5880000000000001</v>
      </c>
      <c r="AK14" s="53">
        <v>3.4864999999999999</v>
      </c>
    </row>
    <row r="15" spans="1:37" x14ac:dyDescent="0.3">
      <c r="A15" s="101"/>
      <c r="C15" s="54" t="s">
        <v>27</v>
      </c>
      <c r="D15" s="55">
        <f>'Emb. Verre'!E27</f>
        <v>2.7909999999999999</v>
      </c>
      <c r="E15" s="55">
        <f>'Emb. Verre'!F27</f>
        <v>1.7115</v>
      </c>
      <c r="F15" s="55">
        <f>'Emb. Verre'!G27</f>
        <v>1.258</v>
      </c>
      <c r="G15" s="55">
        <f>'Emb. Verre'!H27</f>
        <v>1.25</v>
      </c>
      <c r="I15" s="54" t="s">
        <v>27</v>
      </c>
      <c r="J15" s="55">
        <v>2.7010000000000001</v>
      </c>
      <c r="K15" s="55">
        <v>1.5820000000000001</v>
      </c>
      <c r="L15" s="55">
        <v>1.1120000000000001</v>
      </c>
      <c r="M15" s="55">
        <v>1.099</v>
      </c>
      <c r="O15" s="54" t="s">
        <v>27</v>
      </c>
      <c r="P15" s="55">
        <v>2.7909999999999999</v>
      </c>
      <c r="Q15" s="55">
        <v>1.595</v>
      </c>
      <c r="R15" s="55">
        <v>1.133</v>
      </c>
      <c r="S15" s="55">
        <v>1.0920000000000001</v>
      </c>
      <c r="U15" s="54" t="s">
        <v>27</v>
      </c>
      <c r="V15" s="55">
        <v>2.7320000000000002</v>
      </c>
      <c r="W15" s="55">
        <v>1.82</v>
      </c>
      <c r="X15" s="55">
        <v>1.5229999999999999</v>
      </c>
      <c r="Y15" s="55">
        <v>1.4139999999999999</v>
      </c>
      <c r="AA15" s="54" t="s">
        <v>27</v>
      </c>
      <c r="AB15" s="55">
        <v>2.5505</v>
      </c>
      <c r="AC15" s="55">
        <v>1.8519999999999999</v>
      </c>
      <c r="AD15" s="55">
        <v>1.6142500000000002</v>
      </c>
      <c r="AE15" s="55">
        <v>1.5647500000000001</v>
      </c>
      <c r="AG15" s="54" t="s">
        <v>27</v>
      </c>
      <c r="AH15" s="55">
        <v>4.3774999999999995</v>
      </c>
      <c r="AI15" s="55">
        <v>2.7829999999999999</v>
      </c>
      <c r="AJ15" s="55">
        <v>2.3215000000000003</v>
      </c>
      <c r="AK15" s="55">
        <v>2.2477499999999999</v>
      </c>
    </row>
    <row r="16" spans="1:37" x14ac:dyDescent="0.3">
      <c r="A16" s="101"/>
      <c r="C16" s="12" t="s">
        <v>28</v>
      </c>
      <c r="D16" s="53">
        <f>'Emb. Verre'!E28</f>
        <v>2.2999999999999998</v>
      </c>
      <c r="E16" s="53">
        <f>'Emb. Verre'!F28</f>
        <v>1.2692000000000001</v>
      </c>
      <c r="F16" s="53">
        <f>'Emb. Verre'!G28</f>
        <v>0.80940000000000012</v>
      </c>
      <c r="G16" s="53">
        <f>'Emb. Verre'!H28</f>
        <v>0.77580000000000005</v>
      </c>
      <c r="I16" s="12" t="s">
        <v>28</v>
      </c>
      <c r="J16" s="53">
        <v>2.278</v>
      </c>
      <c r="K16" s="53">
        <v>1.1554000000000002</v>
      </c>
      <c r="L16" s="53">
        <v>0.69059999999999999</v>
      </c>
      <c r="M16" s="53">
        <v>0.64620000000000011</v>
      </c>
      <c r="O16" s="12" t="s">
        <v>28</v>
      </c>
      <c r="P16" s="53">
        <v>2.3182999999999998</v>
      </c>
      <c r="Q16" s="53">
        <v>1.2274</v>
      </c>
      <c r="R16" s="53">
        <v>0.76580000000000004</v>
      </c>
      <c r="S16" s="53">
        <v>0.74280000000000002</v>
      </c>
      <c r="U16" s="12" t="s">
        <v>28</v>
      </c>
      <c r="V16" s="53">
        <v>2.1027999999999998</v>
      </c>
      <c r="W16" s="53">
        <v>1.3712</v>
      </c>
      <c r="X16" s="53">
        <v>1.0950000000000002</v>
      </c>
      <c r="Y16" s="53">
        <v>1.0678000000000001</v>
      </c>
      <c r="AA16" s="12" t="s">
        <v>28</v>
      </c>
      <c r="AB16" s="53">
        <v>2.0656000000000003</v>
      </c>
      <c r="AC16" s="53">
        <v>1.5216000000000003</v>
      </c>
      <c r="AD16" s="53">
        <v>1.1497999999999999</v>
      </c>
      <c r="AE16" s="53">
        <v>1.1407</v>
      </c>
      <c r="AG16" s="12" t="s">
        <v>28</v>
      </c>
      <c r="AH16" s="53">
        <v>3.82</v>
      </c>
      <c r="AI16" s="53">
        <v>2.3452999999999999</v>
      </c>
      <c r="AJ16" s="53">
        <v>1.7846</v>
      </c>
      <c r="AK16" s="53">
        <v>1.7148000000000001</v>
      </c>
    </row>
    <row r="18" spans="1:37" ht="28.8" x14ac:dyDescent="0.3">
      <c r="A18" s="102" t="s">
        <v>30</v>
      </c>
      <c r="D18" s="2" t="s">
        <v>19</v>
      </c>
      <c r="E18" s="2" t="s">
        <v>20</v>
      </c>
      <c r="F18" s="2" t="s">
        <v>21</v>
      </c>
      <c r="G18" s="2" t="s">
        <v>22</v>
      </c>
      <c r="J18" s="2" t="s">
        <v>19</v>
      </c>
      <c r="K18" s="2" t="s">
        <v>20</v>
      </c>
      <c r="L18" s="2" t="s">
        <v>21</v>
      </c>
      <c r="M18" s="2" t="s">
        <v>22</v>
      </c>
      <c r="P18" s="2" t="s">
        <v>19</v>
      </c>
      <c r="Q18" s="2" t="s">
        <v>20</v>
      </c>
      <c r="R18" s="2" t="s">
        <v>21</v>
      </c>
      <c r="S18" s="2" t="s">
        <v>22</v>
      </c>
      <c r="V18" s="2" t="s">
        <v>19</v>
      </c>
      <c r="W18" s="2" t="s">
        <v>20</v>
      </c>
      <c r="X18" s="2" t="s">
        <v>21</v>
      </c>
      <c r="Y18" s="2" t="s">
        <v>22</v>
      </c>
      <c r="AB18" s="2" t="s">
        <v>19</v>
      </c>
      <c r="AC18" s="2" t="s">
        <v>20</v>
      </c>
      <c r="AD18" s="2" t="s">
        <v>21</v>
      </c>
      <c r="AE18" s="2" t="s">
        <v>22</v>
      </c>
      <c r="AH18" s="2" t="s">
        <v>19</v>
      </c>
      <c r="AI18" s="2" t="s">
        <v>20</v>
      </c>
      <c r="AJ18" s="2" t="s">
        <v>21</v>
      </c>
      <c r="AK18" s="2" t="s">
        <v>22</v>
      </c>
    </row>
    <row r="19" spans="1:37" x14ac:dyDescent="0.3">
      <c r="A19" s="102"/>
      <c r="C19" s="12" t="s">
        <v>23</v>
      </c>
      <c r="D19" s="53">
        <f>'Papiers et Emb. HV'!E32</f>
        <v>46.360000000000007</v>
      </c>
      <c r="E19" s="53">
        <f>'Papiers et Emb. HV'!F32</f>
        <v>42.389000000000017</v>
      </c>
      <c r="F19" s="53">
        <f>'Papiers et Emb. HV'!G32</f>
        <v>28.165400000000005</v>
      </c>
      <c r="G19" s="53">
        <f>'Papiers et Emb. HV'!H32</f>
        <v>28.038400000000003</v>
      </c>
      <c r="I19" s="12" t="s">
        <v>23</v>
      </c>
      <c r="J19" s="53">
        <v>44.829000000000001</v>
      </c>
      <c r="K19" s="53">
        <v>41.988600000000005</v>
      </c>
      <c r="L19" s="53">
        <v>27.9956</v>
      </c>
      <c r="M19" s="53">
        <v>27.377600000000001</v>
      </c>
      <c r="O19" s="12" t="s">
        <v>23</v>
      </c>
      <c r="P19" s="53">
        <v>44.055800000000005</v>
      </c>
      <c r="Q19" s="53">
        <v>39.833400000000005</v>
      </c>
      <c r="R19" s="53">
        <v>27.636800000000012</v>
      </c>
      <c r="S19" s="53">
        <v>27.193600000000004</v>
      </c>
      <c r="U19" s="12" t="s">
        <v>23</v>
      </c>
      <c r="V19" s="53">
        <v>45.669000000000011</v>
      </c>
      <c r="W19" s="53">
        <v>41.444600000000001</v>
      </c>
      <c r="X19" s="53">
        <v>28.052</v>
      </c>
      <c r="Y19" s="53">
        <v>27.893599999999999</v>
      </c>
      <c r="AA19" s="12" t="s">
        <v>23</v>
      </c>
      <c r="AB19" s="53">
        <v>37.947200000000009</v>
      </c>
      <c r="AC19" s="53">
        <v>34.3065</v>
      </c>
      <c r="AD19" s="53">
        <v>22.8794</v>
      </c>
      <c r="AE19" s="53">
        <v>22.856300000000001</v>
      </c>
      <c r="AG19" s="12" t="s">
        <v>23</v>
      </c>
      <c r="AH19" s="53">
        <v>62.257999999999996</v>
      </c>
      <c r="AI19" s="53">
        <v>58.072600000000001</v>
      </c>
      <c r="AJ19" s="53">
        <v>40.347100000000005</v>
      </c>
      <c r="AK19" s="53">
        <v>40.347100000000005</v>
      </c>
    </row>
    <row r="20" spans="1:37" x14ac:dyDescent="0.3">
      <c r="A20" s="102"/>
      <c r="C20" s="54" t="s">
        <v>24</v>
      </c>
      <c r="D20" s="55">
        <f>'Papiers et Emb. HV'!E33</f>
        <v>39.256999999999998</v>
      </c>
      <c r="E20" s="55">
        <f>'Papiers et Emb. HV'!F33</f>
        <v>34.947999999999993</v>
      </c>
      <c r="F20" s="55">
        <f>'Papiers et Emb. HV'!G33</f>
        <v>20.913499999999999</v>
      </c>
      <c r="G20" s="55">
        <f>'Papiers et Emb. HV'!H33</f>
        <v>20.821999999999999</v>
      </c>
      <c r="I20" s="54" t="s">
        <v>24</v>
      </c>
      <c r="J20" s="55">
        <v>39.691000000000003</v>
      </c>
      <c r="K20" s="55">
        <v>35.54</v>
      </c>
      <c r="L20" s="55">
        <v>22.43</v>
      </c>
      <c r="M20" s="55">
        <v>21.975000000000001</v>
      </c>
      <c r="O20" s="54" t="s">
        <v>24</v>
      </c>
      <c r="P20" s="55">
        <v>37.456000000000003</v>
      </c>
      <c r="Q20" s="55">
        <v>33.655000000000001</v>
      </c>
      <c r="R20" s="55">
        <v>18.744</v>
      </c>
      <c r="S20" s="55">
        <v>18.699000000000002</v>
      </c>
      <c r="U20" s="54" t="s">
        <v>24</v>
      </c>
      <c r="V20" s="55">
        <v>36.720999999999997</v>
      </c>
      <c r="W20" s="55">
        <v>33.999000000000002</v>
      </c>
      <c r="X20" s="55">
        <v>18.917000000000002</v>
      </c>
      <c r="Y20" s="55">
        <v>18.881</v>
      </c>
      <c r="AA20" s="54" t="s">
        <v>24</v>
      </c>
      <c r="AB20" s="55">
        <v>33.100999999999999</v>
      </c>
      <c r="AC20" s="55">
        <v>29.529500000000002</v>
      </c>
      <c r="AD20" s="55">
        <v>19.392250000000001</v>
      </c>
      <c r="AE20" s="55">
        <v>18.921500000000002</v>
      </c>
      <c r="AG20" s="54" t="s">
        <v>24</v>
      </c>
      <c r="AH20" s="55">
        <v>56.735500000000002</v>
      </c>
      <c r="AI20" s="55">
        <v>48.932000000000002</v>
      </c>
      <c r="AJ20" s="55">
        <v>29.072749999999999</v>
      </c>
      <c r="AK20" s="55">
        <v>28.577999999999999</v>
      </c>
    </row>
    <row r="21" spans="1:37" x14ac:dyDescent="0.3">
      <c r="A21" s="102"/>
      <c r="C21" s="12" t="s">
        <v>25</v>
      </c>
      <c r="D21" s="53">
        <f>'Papiers et Emb. HV'!E34</f>
        <v>32.401013315403347</v>
      </c>
      <c r="E21" s="53">
        <f>'Papiers et Emb. HV'!F34</f>
        <v>28.203666369633297</v>
      </c>
      <c r="F21" s="53">
        <f>'Papiers et Emb. HV'!G34</f>
        <v>16.628299529583401</v>
      </c>
      <c r="G21" s="53">
        <f>'Papiers et Emb. HV'!H34</f>
        <v>16.47560088067041</v>
      </c>
      <c r="I21" s="12" t="s">
        <v>26</v>
      </c>
      <c r="J21" s="53">
        <v>33.682000000000002</v>
      </c>
      <c r="K21" s="53">
        <v>29.873000000000001</v>
      </c>
      <c r="L21" s="53">
        <v>14.757999999999999</v>
      </c>
      <c r="M21" s="53">
        <v>14.542999999999999</v>
      </c>
      <c r="O21" s="12" t="s">
        <v>26</v>
      </c>
      <c r="P21" s="53">
        <v>32.590500000000006</v>
      </c>
      <c r="Q21" s="53">
        <v>28.65</v>
      </c>
      <c r="R21" s="53">
        <v>14.715</v>
      </c>
      <c r="S21" s="53">
        <v>14.135999999999999</v>
      </c>
      <c r="U21" s="12" t="s">
        <v>26</v>
      </c>
      <c r="V21" s="53">
        <v>32.460999999999999</v>
      </c>
      <c r="W21" s="53">
        <v>28.701000000000001</v>
      </c>
      <c r="X21" s="53">
        <v>14.117000000000001</v>
      </c>
      <c r="Y21" s="53">
        <v>13.984</v>
      </c>
      <c r="AA21" s="12" t="s">
        <v>26</v>
      </c>
      <c r="AB21" s="53">
        <v>30.556999999999999</v>
      </c>
      <c r="AC21" s="53">
        <v>26.128500000000003</v>
      </c>
      <c r="AD21" s="53">
        <v>15.819500000000001</v>
      </c>
      <c r="AE21" s="53">
        <v>15.722999999999999</v>
      </c>
      <c r="AG21" s="12" t="s">
        <v>26</v>
      </c>
      <c r="AH21" s="53">
        <v>42.128999999999998</v>
      </c>
      <c r="AI21" s="53">
        <v>38.6355</v>
      </c>
      <c r="AJ21" s="53">
        <v>20.734499999999997</v>
      </c>
      <c r="AK21" s="53">
        <v>20.705500000000001</v>
      </c>
    </row>
    <row r="22" spans="1:37" x14ac:dyDescent="0.3">
      <c r="A22" s="102"/>
      <c r="C22" s="54" t="s">
        <v>27</v>
      </c>
      <c r="D22" s="55">
        <f>'Papiers et Emb. HV'!E35</f>
        <v>27.346</v>
      </c>
      <c r="E22" s="55">
        <f>'Papiers et Emb. HV'!F35</f>
        <v>23.477499999999999</v>
      </c>
      <c r="F22" s="55">
        <f>'Papiers et Emb. HV'!G35</f>
        <v>10.29</v>
      </c>
      <c r="G22" s="55">
        <f>'Papiers et Emb. HV'!H35</f>
        <v>10.102</v>
      </c>
      <c r="I22" s="54" t="s">
        <v>27</v>
      </c>
      <c r="J22" s="55">
        <v>27.524000000000001</v>
      </c>
      <c r="K22" s="55">
        <v>24.414000000000001</v>
      </c>
      <c r="L22" s="55">
        <v>9.5969999999999995</v>
      </c>
      <c r="M22" s="55">
        <v>9.5839999999999996</v>
      </c>
      <c r="O22" s="54" t="s">
        <v>27</v>
      </c>
      <c r="P22" s="55">
        <v>26.759499999999999</v>
      </c>
      <c r="Q22" s="55">
        <v>22.981000000000002</v>
      </c>
      <c r="R22" s="55">
        <v>9.375</v>
      </c>
      <c r="S22" s="55">
        <v>9.375</v>
      </c>
      <c r="U22" s="54" t="s">
        <v>27</v>
      </c>
      <c r="V22" s="55">
        <v>26.047000000000001</v>
      </c>
      <c r="W22" s="55">
        <v>22.363</v>
      </c>
      <c r="X22" s="55">
        <v>9.7170000000000005</v>
      </c>
      <c r="Y22" s="55">
        <v>9.7170000000000005</v>
      </c>
      <c r="AA22" s="54" t="s">
        <v>27</v>
      </c>
      <c r="AB22" s="55">
        <v>27.4725</v>
      </c>
      <c r="AC22" s="55">
        <v>22.658999999999999</v>
      </c>
      <c r="AD22" s="55">
        <v>13.004249999999999</v>
      </c>
      <c r="AE22" s="55">
        <v>12.821999999999999</v>
      </c>
      <c r="AG22" s="54" t="s">
        <v>27</v>
      </c>
      <c r="AH22" s="55">
        <v>29.70675</v>
      </c>
      <c r="AI22" s="55">
        <v>27.137</v>
      </c>
      <c r="AJ22" s="55">
        <v>12.303000000000001</v>
      </c>
      <c r="AK22" s="55">
        <v>12.30175</v>
      </c>
    </row>
    <row r="23" spans="1:37" x14ac:dyDescent="0.3">
      <c r="A23" s="102"/>
      <c r="C23" s="12" t="s">
        <v>28</v>
      </c>
      <c r="D23" s="53">
        <f>'Papiers et Emb. HV'!E36</f>
        <v>20.985000000000003</v>
      </c>
      <c r="E23" s="53">
        <f>'Papiers et Emb. HV'!F36</f>
        <v>17.703199999999999</v>
      </c>
      <c r="F23" s="53">
        <f>'Papiers et Emb. HV'!G36</f>
        <v>6.7278000000000002</v>
      </c>
      <c r="G23" s="53">
        <f>'Papiers et Emb. HV'!H36</f>
        <v>6.6434000000000006</v>
      </c>
      <c r="I23" s="12" t="s">
        <v>28</v>
      </c>
      <c r="J23" s="53">
        <v>20.783999999999999</v>
      </c>
      <c r="K23" s="53">
        <v>17.446400000000001</v>
      </c>
      <c r="L23" s="53">
        <v>6.3988000000000005</v>
      </c>
      <c r="M23" s="53">
        <v>6.3374000000000006</v>
      </c>
      <c r="O23" s="12" t="s">
        <v>28</v>
      </c>
      <c r="P23" s="53">
        <v>21.269099999999998</v>
      </c>
      <c r="Q23" s="53">
        <v>17.087400000000002</v>
      </c>
      <c r="R23" s="53">
        <v>5.5744000000000007</v>
      </c>
      <c r="S23" s="53">
        <v>5.5744000000000007</v>
      </c>
      <c r="U23" s="12" t="s">
        <v>28</v>
      </c>
      <c r="V23" s="53">
        <v>19.9284</v>
      </c>
      <c r="W23" s="53">
        <v>17.788800000000002</v>
      </c>
      <c r="X23" s="53">
        <v>7.6322000000000001</v>
      </c>
      <c r="Y23" s="53">
        <v>7.6322000000000001</v>
      </c>
      <c r="AA23" s="12" t="s">
        <v>28</v>
      </c>
      <c r="AB23" s="53">
        <v>23.2742</v>
      </c>
      <c r="AC23" s="53">
        <v>19.877700000000001</v>
      </c>
      <c r="AD23" s="53">
        <v>9.1626000000000012</v>
      </c>
      <c r="AE23" s="53">
        <v>8.9547000000000008</v>
      </c>
      <c r="AG23" s="12" t="s">
        <v>28</v>
      </c>
      <c r="AH23" s="53">
        <v>17.0595</v>
      </c>
      <c r="AI23" s="53">
        <v>15.2354</v>
      </c>
      <c r="AJ23" s="53">
        <v>6.8382000000000014</v>
      </c>
      <c r="AK23" s="53">
        <v>6.178700000000001</v>
      </c>
    </row>
    <row r="25" spans="1:37" ht="28.8" x14ac:dyDescent="0.3">
      <c r="A25" s="103" t="s">
        <v>8</v>
      </c>
      <c r="D25" s="2" t="s">
        <v>19</v>
      </c>
      <c r="E25" s="2" t="s">
        <v>20</v>
      </c>
      <c r="F25" s="2" t="s">
        <v>21</v>
      </c>
      <c r="G25" s="2" t="s">
        <v>22</v>
      </c>
      <c r="J25" s="2" t="s">
        <v>19</v>
      </c>
      <c r="K25" s="2" t="s">
        <v>20</v>
      </c>
      <c r="L25" s="2" t="s">
        <v>21</v>
      </c>
      <c r="M25" s="2" t="s">
        <v>22</v>
      </c>
      <c r="P25" s="2" t="s">
        <v>19</v>
      </c>
      <c r="Q25" s="2" t="s">
        <v>20</v>
      </c>
      <c r="R25" s="2" t="s">
        <v>21</v>
      </c>
      <c r="S25" s="2" t="s">
        <v>22</v>
      </c>
      <c r="V25" s="2" t="s">
        <v>19</v>
      </c>
      <c r="W25" s="2" t="s">
        <v>20</v>
      </c>
      <c r="X25" s="2" t="s">
        <v>21</v>
      </c>
      <c r="Y25" s="2" t="s">
        <v>22</v>
      </c>
      <c r="AB25" s="2" t="s">
        <v>19</v>
      </c>
      <c r="AC25" s="2" t="s">
        <v>20</v>
      </c>
      <c r="AD25" s="2" t="s">
        <v>21</v>
      </c>
      <c r="AE25" s="2" t="s">
        <v>22</v>
      </c>
      <c r="AH25" s="2" t="s">
        <v>19</v>
      </c>
      <c r="AI25" s="2" t="s">
        <v>20</v>
      </c>
      <c r="AJ25" s="2" t="s">
        <v>21</v>
      </c>
      <c r="AK25" s="2" t="s">
        <v>22</v>
      </c>
    </row>
    <row r="26" spans="1:37" x14ac:dyDescent="0.3">
      <c r="A26" s="103"/>
      <c r="C26" s="12" t="s">
        <v>23</v>
      </c>
      <c r="D26" s="53">
        <f>Déchèteries!E21</f>
        <v>60.036400000000008</v>
      </c>
      <c r="E26" s="53">
        <f>Déchèteries!F21</f>
        <v>57.249400000000009</v>
      </c>
      <c r="F26" s="53">
        <f>Déchèteries!G21</f>
        <v>55.6556</v>
      </c>
      <c r="G26" s="53">
        <f>Déchèteries!H21</f>
        <v>54.514400000000002</v>
      </c>
      <c r="I26" s="12" t="s">
        <v>23</v>
      </c>
      <c r="J26" s="53">
        <v>56.305999999999997</v>
      </c>
      <c r="K26" s="53">
        <v>56.512</v>
      </c>
      <c r="L26" s="53">
        <v>53.762</v>
      </c>
      <c r="M26" s="53">
        <v>52.983800000000002</v>
      </c>
      <c r="O26" s="12" t="s">
        <v>23</v>
      </c>
      <c r="P26" s="53">
        <v>57.998500000000007</v>
      </c>
      <c r="Q26" s="53">
        <v>54.153200000000005</v>
      </c>
      <c r="R26" s="53">
        <v>52.358000000000011</v>
      </c>
      <c r="S26" s="53">
        <v>51.178000000000004</v>
      </c>
      <c r="U26" s="12" t="s">
        <v>23</v>
      </c>
      <c r="V26" s="53">
        <v>58.422400000000003</v>
      </c>
      <c r="W26" s="53">
        <v>56.45</v>
      </c>
      <c r="X26" s="53">
        <v>55.110599999999998</v>
      </c>
      <c r="Y26" s="53">
        <v>54.189</v>
      </c>
      <c r="AA26" s="12" t="s">
        <v>23</v>
      </c>
      <c r="AB26" s="53">
        <v>37.750800000000005</v>
      </c>
      <c r="AC26" s="53">
        <v>35.617399999999996</v>
      </c>
      <c r="AD26" s="53">
        <v>34.222799999999999</v>
      </c>
      <c r="AE26" s="53">
        <v>34.143899999999995</v>
      </c>
      <c r="AG26" s="12" t="s">
        <v>23</v>
      </c>
      <c r="AH26" s="53">
        <v>86.453000000000003</v>
      </c>
      <c r="AI26" s="53">
        <v>82.386200000000002</v>
      </c>
      <c r="AJ26" s="53">
        <v>78.588400000000007</v>
      </c>
      <c r="AK26" s="53">
        <v>77.782399999999996</v>
      </c>
    </row>
    <row r="27" spans="1:37" x14ac:dyDescent="0.3">
      <c r="A27" s="103"/>
      <c r="C27" s="54" t="s">
        <v>24</v>
      </c>
      <c r="D27" s="55">
        <f>Déchèteries!E22</f>
        <v>49.988999999999997</v>
      </c>
      <c r="E27" s="55">
        <f>Déchèteries!F22</f>
        <v>46.970500000000001</v>
      </c>
      <c r="F27" s="55">
        <f>Déchèteries!G22</f>
        <v>44.644499999999994</v>
      </c>
      <c r="G27" s="55">
        <f>Déchèteries!H22</f>
        <v>43.725999999999999</v>
      </c>
      <c r="I27" s="54" t="s">
        <v>24</v>
      </c>
      <c r="J27" s="55">
        <v>49.023000000000003</v>
      </c>
      <c r="K27" s="55">
        <v>46.973999999999997</v>
      </c>
      <c r="L27" s="55">
        <v>44.625999999999998</v>
      </c>
      <c r="M27" s="55">
        <v>43.552999999999997</v>
      </c>
      <c r="O27" s="54" t="s">
        <v>24</v>
      </c>
      <c r="P27" s="55">
        <v>48.464750000000002</v>
      </c>
      <c r="Q27" s="55">
        <v>45.591000000000001</v>
      </c>
      <c r="R27" s="55">
        <v>43.484999999999999</v>
      </c>
      <c r="S27" s="55">
        <v>43.393000000000001</v>
      </c>
      <c r="U27" s="54" t="s">
        <v>24</v>
      </c>
      <c r="V27" s="55">
        <v>46.826000000000001</v>
      </c>
      <c r="W27" s="55">
        <v>42.250999999999998</v>
      </c>
      <c r="X27" s="55">
        <v>40.479999999999997</v>
      </c>
      <c r="Y27" s="55">
        <v>40.078000000000003</v>
      </c>
      <c r="AA27" s="54" t="s">
        <v>24</v>
      </c>
      <c r="AB27" s="55">
        <v>34.728499999999997</v>
      </c>
      <c r="AC27" s="55">
        <v>32.176250000000003</v>
      </c>
      <c r="AD27" s="55">
        <v>30.726500000000001</v>
      </c>
      <c r="AE27" s="55">
        <v>30.723750000000003</v>
      </c>
      <c r="AG27" s="54" t="s">
        <v>24</v>
      </c>
      <c r="AH27" s="55">
        <v>69.828249999999997</v>
      </c>
      <c r="AI27" s="55">
        <v>66.260750000000002</v>
      </c>
      <c r="AJ27" s="55">
        <v>63.362250000000003</v>
      </c>
      <c r="AK27" s="55">
        <v>62.52225</v>
      </c>
    </row>
    <row r="28" spans="1:37" x14ac:dyDescent="0.3">
      <c r="A28" s="103"/>
      <c r="C28" s="12" t="s">
        <v>25</v>
      </c>
      <c r="D28" s="53">
        <f>Déchèteries!E23</f>
        <v>33.697716556020687</v>
      </c>
      <c r="E28" s="53">
        <f>Déchèteries!F23</f>
        <v>32.81940033369105</v>
      </c>
      <c r="F28" s="53">
        <f>Déchèteries!G23</f>
        <v>31.391240233916843</v>
      </c>
      <c r="G28" s="53">
        <f>Déchèteries!H23</f>
        <v>31.041736738742877</v>
      </c>
      <c r="I28" s="12" t="s">
        <v>26</v>
      </c>
      <c r="J28" s="53">
        <v>41.322000000000003</v>
      </c>
      <c r="K28" s="53">
        <v>39.392000000000003</v>
      </c>
      <c r="L28" s="53">
        <v>37.557000000000002</v>
      </c>
      <c r="M28" s="53">
        <v>37.069000000000003</v>
      </c>
      <c r="O28" s="12" t="s">
        <v>26</v>
      </c>
      <c r="P28" s="53">
        <v>40.435500000000005</v>
      </c>
      <c r="Q28" s="53">
        <v>37.639000000000003</v>
      </c>
      <c r="R28" s="53">
        <v>36.112000000000002</v>
      </c>
      <c r="S28" s="53">
        <v>35.478000000000002</v>
      </c>
      <c r="U28" s="12" t="s">
        <v>26</v>
      </c>
      <c r="V28" s="53">
        <v>38.680999999999997</v>
      </c>
      <c r="W28" s="53">
        <v>35.902999999999999</v>
      </c>
      <c r="X28" s="53">
        <v>34.527999999999999</v>
      </c>
      <c r="Y28" s="53">
        <v>34.465000000000003</v>
      </c>
      <c r="AA28" s="12" t="s">
        <v>26</v>
      </c>
      <c r="AB28" s="53">
        <v>26.774999999999999</v>
      </c>
      <c r="AC28" s="53">
        <v>26.545999999999999</v>
      </c>
      <c r="AD28" s="53">
        <v>26.05</v>
      </c>
      <c r="AE28" s="53">
        <v>25.954999999999998</v>
      </c>
      <c r="AG28" s="12" t="s">
        <v>26</v>
      </c>
      <c r="AH28" s="53">
        <v>57.087499999999999</v>
      </c>
      <c r="AI28" s="53">
        <v>54.770499999999998</v>
      </c>
      <c r="AJ28" s="53">
        <v>51.2485</v>
      </c>
      <c r="AK28" s="53">
        <v>48.879000000000005</v>
      </c>
    </row>
    <row r="29" spans="1:37" x14ac:dyDescent="0.3">
      <c r="A29" s="103"/>
      <c r="C29" s="54" t="s">
        <v>27</v>
      </c>
      <c r="D29" s="55">
        <f>Déchèteries!E24</f>
        <v>33.476999999999997</v>
      </c>
      <c r="E29" s="55">
        <f>Déchèteries!F24</f>
        <v>30.823499999999999</v>
      </c>
      <c r="F29" s="55">
        <f>Déchèteries!G24</f>
        <v>29.233000000000001</v>
      </c>
      <c r="G29" s="55">
        <f>Déchèteries!H24</f>
        <v>28.810000000000002</v>
      </c>
      <c r="I29" s="54" t="s">
        <v>27</v>
      </c>
      <c r="J29" s="55">
        <v>36.207000000000001</v>
      </c>
      <c r="K29" s="55">
        <v>35.124000000000002</v>
      </c>
      <c r="L29" s="55">
        <v>32.622</v>
      </c>
      <c r="M29" s="55">
        <v>32.241</v>
      </c>
      <c r="O29" s="54" t="s">
        <v>27</v>
      </c>
      <c r="P29" s="55">
        <v>34.126750000000001</v>
      </c>
      <c r="Q29" s="55">
        <v>31.765999999999998</v>
      </c>
      <c r="R29" s="55">
        <v>29.66</v>
      </c>
      <c r="S29" s="55">
        <v>29.303999999999998</v>
      </c>
      <c r="U29" s="54" t="s">
        <v>27</v>
      </c>
      <c r="V29" s="55">
        <v>29.437000000000001</v>
      </c>
      <c r="W29" s="55">
        <v>27.021000000000001</v>
      </c>
      <c r="X29" s="55">
        <v>26.137</v>
      </c>
      <c r="Y29" s="55">
        <v>25.975000000000001</v>
      </c>
      <c r="AA29" s="54" t="s">
        <v>27</v>
      </c>
      <c r="AB29" s="55">
        <v>19.025500000000001</v>
      </c>
      <c r="AC29" s="55">
        <v>19.805</v>
      </c>
      <c r="AD29" s="55">
        <v>18.843499999999999</v>
      </c>
      <c r="AE29" s="55">
        <v>18.615000000000002</v>
      </c>
      <c r="AG29" s="54" t="s">
        <v>27</v>
      </c>
      <c r="AH29" s="55">
        <v>46.911250000000003</v>
      </c>
      <c r="AI29" s="55">
        <v>44.275500000000001</v>
      </c>
      <c r="AJ29" s="55">
        <v>40.425750000000001</v>
      </c>
      <c r="AK29" s="55">
        <v>39.171250000000001</v>
      </c>
    </row>
    <row r="30" spans="1:37" x14ac:dyDescent="0.3">
      <c r="A30" s="103"/>
      <c r="C30" s="12" t="s">
        <v>28</v>
      </c>
      <c r="D30" s="53">
        <f>Déchèteries!E25</f>
        <v>26.725200000000001</v>
      </c>
      <c r="E30" s="53">
        <f>Déchèteries!F25</f>
        <v>25.4802</v>
      </c>
      <c r="F30" s="53">
        <f>Déchèteries!G25</f>
        <v>23.927599999999998</v>
      </c>
      <c r="G30" s="53">
        <f>Déchèteries!H25</f>
        <v>23.4938</v>
      </c>
      <c r="I30" s="12" t="s">
        <v>28</v>
      </c>
      <c r="J30" s="53">
        <v>31.082999999999998</v>
      </c>
      <c r="K30" s="53">
        <v>29.377199999999998</v>
      </c>
      <c r="L30" s="53">
        <v>27.597200000000001</v>
      </c>
      <c r="M30" s="53">
        <v>27.1264</v>
      </c>
      <c r="O30" s="12" t="s">
        <v>28</v>
      </c>
      <c r="P30" s="53">
        <v>27.268800000000002</v>
      </c>
      <c r="Q30" s="53">
        <v>26.321200000000001</v>
      </c>
      <c r="R30" s="53">
        <v>24.716800000000003</v>
      </c>
      <c r="S30" s="53">
        <v>24.573</v>
      </c>
      <c r="U30" s="12" t="s">
        <v>28</v>
      </c>
      <c r="V30" s="53">
        <v>25.6282</v>
      </c>
      <c r="W30" s="53">
        <v>25.0198</v>
      </c>
      <c r="X30" s="53">
        <v>23.871399999999998</v>
      </c>
      <c r="Y30" s="53">
        <v>23.436999999999998</v>
      </c>
      <c r="AA30" s="12" t="s">
        <v>28</v>
      </c>
      <c r="AB30" s="53">
        <v>13.373799999999999</v>
      </c>
      <c r="AC30" s="53">
        <v>12.701599999999999</v>
      </c>
      <c r="AD30" s="53">
        <v>12.1008</v>
      </c>
      <c r="AE30" s="53">
        <v>12.088200000000001</v>
      </c>
      <c r="AG30" s="12" t="s">
        <v>28</v>
      </c>
      <c r="AH30" s="53">
        <v>32.516000000000005</v>
      </c>
      <c r="AI30" s="53">
        <v>30.231900000000003</v>
      </c>
      <c r="AJ30" s="53">
        <v>26.316100000000002</v>
      </c>
      <c r="AK30" s="53">
        <v>26.208000000000002</v>
      </c>
    </row>
    <row r="32" spans="1:37" ht="28.8" x14ac:dyDescent="0.3">
      <c r="A32" s="95" t="s">
        <v>4</v>
      </c>
      <c r="D32" s="2" t="s">
        <v>19</v>
      </c>
      <c r="E32" s="2" t="s">
        <v>20</v>
      </c>
      <c r="F32" s="2" t="s">
        <v>21</v>
      </c>
      <c r="G32" s="2" t="s">
        <v>22</v>
      </c>
      <c r="J32" s="2" t="s">
        <v>19</v>
      </c>
      <c r="K32" s="2" t="s">
        <v>20</v>
      </c>
      <c r="L32" s="2" t="s">
        <v>21</v>
      </c>
      <c r="M32" s="2" t="s">
        <v>22</v>
      </c>
      <c r="P32" s="2" t="s">
        <v>19</v>
      </c>
      <c r="Q32" s="2" t="s">
        <v>20</v>
      </c>
      <c r="R32" s="2" t="s">
        <v>21</v>
      </c>
      <c r="S32" s="2" t="s">
        <v>22</v>
      </c>
      <c r="V32" s="2" t="s">
        <v>19</v>
      </c>
      <c r="W32" s="2" t="s">
        <v>20</v>
      </c>
      <c r="X32" s="2" t="s">
        <v>21</v>
      </c>
      <c r="Y32" s="2" t="s">
        <v>22</v>
      </c>
      <c r="AB32" s="2" t="s">
        <v>19</v>
      </c>
      <c r="AC32" s="2" t="s">
        <v>20</v>
      </c>
      <c r="AD32" s="2" t="s">
        <v>21</v>
      </c>
      <c r="AE32" s="2" t="s">
        <v>22</v>
      </c>
      <c r="AH32" s="2" t="s">
        <v>19</v>
      </c>
      <c r="AI32" s="2" t="s">
        <v>20</v>
      </c>
      <c r="AJ32" s="2" t="s">
        <v>21</v>
      </c>
      <c r="AK32" s="2" t="s">
        <v>22</v>
      </c>
    </row>
    <row r="33" spans="1:37" x14ac:dyDescent="0.3">
      <c r="A33" s="95"/>
      <c r="C33" s="12" t="s">
        <v>23</v>
      </c>
      <c r="D33" s="53">
        <f>'Tous flux'!E18</f>
        <v>204.64040000000003</v>
      </c>
      <c r="E33" s="53">
        <f>'Tous flux'!F18</f>
        <v>193.08180000000007</v>
      </c>
      <c r="F33" s="53">
        <f>'Tous flux'!G18</f>
        <v>178.24719999999999</v>
      </c>
      <c r="G33" s="53">
        <f>'Tous flux'!H18</f>
        <v>177.57040000000003</v>
      </c>
      <c r="I33" s="12" t="s">
        <v>23</v>
      </c>
      <c r="J33" s="53">
        <v>178.91499999999999</v>
      </c>
      <c r="K33" s="53">
        <v>170.53640000000001</v>
      </c>
      <c r="L33" s="53">
        <v>152.10540000000003</v>
      </c>
      <c r="M33" s="53">
        <v>150.9358</v>
      </c>
      <c r="O33" s="12" t="s">
        <v>23</v>
      </c>
      <c r="P33" s="53">
        <v>191.87130000000008</v>
      </c>
      <c r="Q33" s="53">
        <v>181.17760000000001</v>
      </c>
      <c r="R33" s="53">
        <v>168.27260000000004</v>
      </c>
      <c r="S33" s="53">
        <v>167.12820000000005</v>
      </c>
      <c r="U33" s="12" t="s">
        <v>23</v>
      </c>
      <c r="V33" s="53">
        <v>190.97800000000001</v>
      </c>
      <c r="W33" s="53">
        <v>185.39879999999999</v>
      </c>
      <c r="X33" s="53">
        <v>173.9862</v>
      </c>
      <c r="Y33" s="53">
        <v>173.23560000000001</v>
      </c>
      <c r="AA33" s="12" t="s">
        <v>23</v>
      </c>
      <c r="AB33" s="53">
        <v>206.13793705099363</v>
      </c>
      <c r="AC33" s="53">
        <v>168.68980000000002</v>
      </c>
      <c r="AD33" s="53">
        <v>153.8595</v>
      </c>
      <c r="AE33" s="53">
        <v>152.1216</v>
      </c>
      <c r="AG33" s="12" t="s">
        <v>23</v>
      </c>
      <c r="AH33" s="53">
        <v>307.37700000000001</v>
      </c>
      <c r="AI33" s="53">
        <v>319.60350000000005</v>
      </c>
      <c r="AJ33" s="53">
        <v>299.92430000000002</v>
      </c>
      <c r="AK33" s="53">
        <v>297.02570000000009</v>
      </c>
    </row>
    <row r="34" spans="1:37" x14ac:dyDescent="0.3">
      <c r="A34" s="95"/>
      <c r="C34" s="54" t="s">
        <v>24</v>
      </c>
      <c r="D34" s="55">
        <f>'Tous flux'!E19</f>
        <v>168.85065518838368</v>
      </c>
      <c r="E34" s="55">
        <f>'Tous flux'!F19</f>
        <v>157.12900000000002</v>
      </c>
      <c r="F34" s="55">
        <f>'Tous flux'!G19</f>
        <v>141.458</v>
      </c>
      <c r="G34" s="55">
        <f>'Tous flux'!H19</f>
        <v>139.37299999999999</v>
      </c>
      <c r="I34" s="54" t="s">
        <v>24</v>
      </c>
      <c r="J34" s="55">
        <v>157.68199999999999</v>
      </c>
      <c r="K34" s="55">
        <v>148.23500000000001</v>
      </c>
      <c r="L34" s="55">
        <v>134.00800000000001</v>
      </c>
      <c r="M34" s="55">
        <v>129.90799999999999</v>
      </c>
      <c r="O34" s="54" t="s">
        <v>24</v>
      </c>
      <c r="P34" s="55">
        <v>159.26224999999999</v>
      </c>
      <c r="Q34" s="55">
        <v>146.19</v>
      </c>
      <c r="R34" s="55">
        <v>130.09800000000001</v>
      </c>
      <c r="S34" s="55">
        <v>128.29900000000001</v>
      </c>
      <c r="U34" s="54" t="s">
        <v>24</v>
      </c>
      <c r="V34" s="55">
        <v>171.58199999999999</v>
      </c>
      <c r="W34" s="55">
        <v>161.62</v>
      </c>
      <c r="X34" s="55">
        <v>145.11799999999999</v>
      </c>
      <c r="Y34" s="55">
        <v>144.863</v>
      </c>
      <c r="AA34" s="54" t="s">
        <v>24</v>
      </c>
      <c r="AB34" s="55">
        <v>155.00394597019005</v>
      </c>
      <c r="AC34" s="55">
        <v>140.321</v>
      </c>
      <c r="AD34" s="55">
        <v>126.83175</v>
      </c>
      <c r="AE34" s="55">
        <v>126.47125000000001</v>
      </c>
      <c r="AG34" s="54" t="s">
        <v>24</v>
      </c>
      <c r="AH34" s="55">
        <v>266.67599999999999</v>
      </c>
      <c r="AI34" s="55">
        <v>253.13574999999997</v>
      </c>
      <c r="AJ34" s="55">
        <v>230.87625</v>
      </c>
      <c r="AK34" s="55">
        <v>223.10849999999999</v>
      </c>
    </row>
    <row r="35" spans="1:37" x14ac:dyDescent="0.3">
      <c r="A35" s="95"/>
      <c r="C35" s="12" t="s">
        <v>25</v>
      </c>
      <c r="D35" s="53">
        <f>'Tous flux'!E20</f>
        <v>152.72759946180767</v>
      </c>
      <c r="E35" s="53">
        <f>'Tous flux'!F20</f>
        <v>141.76116685866839</v>
      </c>
      <c r="F35" s="53">
        <f>'Tous flux'!G20</f>
        <v>127.84698935146415</v>
      </c>
      <c r="G35" s="53">
        <f>'Tous flux'!H20</f>
        <v>126.86157664376694</v>
      </c>
      <c r="I35" s="12" t="s">
        <v>26</v>
      </c>
      <c r="J35" s="53">
        <v>139.738</v>
      </c>
      <c r="K35" s="53">
        <v>132.304</v>
      </c>
      <c r="L35" s="53">
        <v>114.60599999999999</v>
      </c>
      <c r="M35" s="53">
        <v>113.036</v>
      </c>
      <c r="O35" s="12" t="s">
        <v>26</v>
      </c>
      <c r="P35" s="53">
        <v>141.85072115945934</v>
      </c>
      <c r="Q35" s="53">
        <v>130.203</v>
      </c>
      <c r="R35" s="53">
        <v>112.718</v>
      </c>
      <c r="S35" s="53">
        <v>111.642</v>
      </c>
      <c r="U35" s="12" t="s">
        <v>26</v>
      </c>
      <c r="V35" s="53">
        <v>144.66357165258546</v>
      </c>
      <c r="W35" s="53">
        <v>132.167</v>
      </c>
      <c r="X35" s="53">
        <v>119.502</v>
      </c>
      <c r="Y35" s="53">
        <v>119.026</v>
      </c>
      <c r="AA35" s="12" t="s">
        <v>26</v>
      </c>
      <c r="AB35" s="53">
        <v>141.55108253602577</v>
      </c>
      <c r="AC35" s="53">
        <v>132.904</v>
      </c>
      <c r="AD35" s="53">
        <v>117.81450000000001</v>
      </c>
      <c r="AE35" s="53">
        <v>116.8845</v>
      </c>
      <c r="AG35" s="12" t="s">
        <v>26</v>
      </c>
      <c r="AH35" s="53">
        <v>205.19549999999998</v>
      </c>
      <c r="AI35" s="53">
        <v>197.62950000000001</v>
      </c>
      <c r="AJ35" s="53">
        <v>178.261</v>
      </c>
      <c r="AK35" s="53">
        <v>178.14600000000002</v>
      </c>
    </row>
    <row r="36" spans="1:37" x14ac:dyDescent="0.3">
      <c r="A36" s="95"/>
      <c r="C36" s="54" t="s">
        <v>27</v>
      </c>
      <c r="D36" s="55">
        <f>'Tous flux'!E21</f>
        <v>127.771</v>
      </c>
      <c r="E36" s="55">
        <f>'Tous flux'!F21</f>
        <v>116.5265</v>
      </c>
      <c r="F36" s="55">
        <f>'Tous flux'!G21</f>
        <v>99.771999999999991</v>
      </c>
      <c r="G36" s="55">
        <f>'Tous flux'!H21</f>
        <v>99.032000000000011</v>
      </c>
      <c r="I36" s="54" t="s">
        <v>27</v>
      </c>
      <c r="J36" s="55">
        <v>123.586</v>
      </c>
      <c r="K36" s="55">
        <v>112.99</v>
      </c>
      <c r="L36" s="55">
        <v>94.4</v>
      </c>
      <c r="M36" s="55">
        <v>93.433000000000007</v>
      </c>
      <c r="O36" s="54" t="s">
        <v>27</v>
      </c>
      <c r="P36" s="55">
        <v>126.65023608122249</v>
      </c>
      <c r="Q36" s="55">
        <v>115.18</v>
      </c>
      <c r="R36" s="55">
        <v>97.411000000000001</v>
      </c>
      <c r="S36" s="55">
        <v>95.531000000000006</v>
      </c>
      <c r="U36" s="54" t="s">
        <v>27</v>
      </c>
      <c r="V36" s="55">
        <v>134.54599999999999</v>
      </c>
      <c r="W36" s="55">
        <v>122.509</v>
      </c>
      <c r="X36" s="55">
        <v>107.176</v>
      </c>
      <c r="Y36" s="55">
        <v>106.20399999999999</v>
      </c>
      <c r="AA36" s="54" t="s">
        <v>27</v>
      </c>
      <c r="AB36" s="55">
        <v>125.66829689501941</v>
      </c>
      <c r="AC36" s="55">
        <v>114.35825</v>
      </c>
      <c r="AD36" s="55">
        <v>101.89625000000001</v>
      </c>
      <c r="AE36" s="55">
        <v>101.40975</v>
      </c>
      <c r="AG36" s="54" t="s">
        <v>27</v>
      </c>
      <c r="AH36" s="55">
        <v>177.53175000000002</v>
      </c>
      <c r="AI36" s="55">
        <v>165.43074999999999</v>
      </c>
      <c r="AJ36" s="55">
        <v>146.70750000000001</v>
      </c>
      <c r="AK36" s="55">
        <v>144.00925000000001</v>
      </c>
    </row>
    <row r="37" spans="1:37" x14ac:dyDescent="0.3">
      <c r="A37" s="95"/>
      <c r="C37" s="12" t="s">
        <v>28</v>
      </c>
      <c r="D37" s="53">
        <f>'Tous flux'!E22</f>
        <v>117.19135286534971</v>
      </c>
      <c r="E37" s="53">
        <f>'Tous flux'!F22</f>
        <v>102.8034</v>
      </c>
      <c r="F37" s="53">
        <f>'Tous flux'!G22</f>
        <v>87.442799999999991</v>
      </c>
      <c r="G37" s="53">
        <f>'Tous flux'!H22</f>
        <v>86.4298</v>
      </c>
      <c r="I37" s="12" t="s">
        <v>28</v>
      </c>
      <c r="J37" s="53">
        <v>115.84399999999999</v>
      </c>
      <c r="K37" s="53">
        <v>102.37580000000001</v>
      </c>
      <c r="L37" s="53">
        <v>84.989199999999997</v>
      </c>
      <c r="M37" s="53">
        <v>82.908799999999999</v>
      </c>
      <c r="O37" s="12" t="s">
        <v>28</v>
      </c>
      <c r="P37" s="53">
        <v>112.68038974486142</v>
      </c>
      <c r="Q37" s="53">
        <v>100.3368</v>
      </c>
      <c r="R37" s="53">
        <v>83.0946</v>
      </c>
      <c r="S37" s="53">
        <v>82.484200000000001</v>
      </c>
      <c r="U37" s="12" t="s">
        <v>28</v>
      </c>
      <c r="V37" s="53">
        <v>124.55497819030919</v>
      </c>
      <c r="W37" s="53">
        <v>108.7522</v>
      </c>
      <c r="X37" s="53">
        <v>92.106999999999999</v>
      </c>
      <c r="Y37" s="53">
        <v>91.572000000000003</v>
      </c>
      <c r="AA37" s="12" t="s">
        <v>28</v>
      </c>
      <c r="AB37" s="53">
        <v>116.1738</v>
      </c>
      <c r="AC37" s="53">
        <v>100.99080000000001</v>
      </c>
      <c r="AD37" s="53">
        <v>88.972700000000003</v>
      </c>
      <c r="AE37" s="53">
        <v>88.515100000000004</v>
      </c>
      <c r="AG37" s="12" t="s">
        <v>28</v>
      </c>
      <c r="AH37" s="53">
        <v>160.631</v>
      </c>
      <c r="AI37" s="53">
        <v>146.8417</v>
      </c>
      <c r="AJ37" s="53">
        <v>130.72310000000002</v>
      </c>
      <c r="AK37" s="53">
        <v>130.42760000000001</v>
      </c>
    </row>
  </sheetData>
  <sheetProtection sheet="1" objects="1" scenarios="1"/>
  <mergeCells count="12">
    <mergeCell ref="D1:K1"/>
    <mergeCell ref="A4:A9"/>
    <mergeCell ref="A11:A16"/>
    <mergeCell ref="A18:A23"/>
    <mergeCell ref="A25:A30"/>
    <mergeCell ref="A32:A37"/>
    <mergeCell ref="AG2:AK2"/>
    <mergeCell ref="C2:G2"/>
    <mergeCell ref="I2:M2"/>
    <mergeCell ref="O2:S2"/>
    <mergeCell ref="U2:Y2"/>
    <mergeCell ref="AA2:AE2"/>
  </mergeCells>
  <hyperlinks>
    <hyperlink ref="D1" location="Sommaire!A1" display="Retour sommaire annexe" xr:uid="{10B30D45-2306-4F0B-85DB-5D82125112E1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26CA-B9F7-4D29-BBDE-3A8225F5C0B4}">
  <dimension ref="A1:AK30"/>
  <sheetViews>
    <sheetView showGridLines="0" zoomScaleNormal="100" workbookViewId="0">
      <pane xSplit="1" ySplit="2" topLeftCell="B3" activePane="bottomRight" state="frozen"/>
      <selection activeCell="H25" sqref="H25"/>
      <selection pane="topRight" activeCell="H25" sqref="H25"/>
      <selection pane="bottomLeft" activeCell="H25" sqref="H25"/>
      <selection pane="bottomRight" activeCell="H25" sqref="H25"/>
    </sheetView>
  </sheetViews>
  <sheetFormatPr baseColWidth="10" defaultColWidth="11.44140625" defaultRowHeight="14.4" x14ac:dyDescent="0.3"/>
  <cols>
    <col min="1" max="1" width="5.109375" bestFit="1" customWidth="1"/>
    <col min="2" max="2" width="2.33203125" customWidth="1"/>
    <col min="8" max="8" width="2.33203125" customWidth="1"/>
    <col min="14" max="14" width="2.33203125" customWidth="1"/>
    <col min="20" max="20" width="2.33203125" customWidth="1"/>
    <col min="26" max="26" width="2.33203125" customWidth="1"/>
    <col min="32" max="32" width="2.33203125" customWidth="1"/>
  </cols>
  <sheetData>
    <row r="1" spans="1:37" x14ac:dyDescent="0.3">
      <c r="C1" s="59"/>
      <c r="D1" s="99" t="s">
        <v>12</v>
      </c>
      <c r="E1" s="99"/>
      <c r="F1" s="99"/>
      <c r="G1" s="99"/>
      <c r="H1" s="99"/>
      <c r="I1" s="99"/>
      <c r="J1" s="99"/>
      <c r="K1" s="99"/>
      <c r="L1" s="1"/>
    </row>
    <row r="2" spans="1:37" s="52" customFormat="1" ht="21" x14ac:dyDescent="0.4">
      <c r="C2" s="96" t="s">
        <v>13</v>
      </c>
      <c r="D2" s="97"/>
      <c r="E2" s="97"/>
      <c r="F2" s="97"/>
      <c r="G2" s="98"/>
      <c r="I2" s="96" t="s">
        <v>14</v>
      </c>
      <c r="J2" s="97"/>
      <c r="K2" s="97"/>
      <c r="L2" s="97"/>
      <c r="M2" s="98"/>
      <c r="O2" s="96" t="s">
        <v>15</v>
      </c>
      <c r="P2" s="97"/>
      <c r="Q2" s="97"/>
      <c r="R2" s="97"/>
      <c r="S2" s="98"/>
      <c r="U2" s="96" t="s">
        <v>16</v>
      </c>
      <c r="V2" s="97"/>
      <c r="W2" s="97"/>
      <c r="X2" s="97"/>
      <c r="Y2" s="98"/>
      <c r="AA2" s="96" t="s">
        <v>17</v>
      </c>
      <c r="AB2" s="97"/>
      <c r="AC2" s="97"/>
      <c r="AD2" s="97"/>
      <c r="AE2" s="98"/>
      <c r="AG2" s="96" t="s">
        <v>18</v>
      </c>
      <c r="AH2" s="97"/>
      <c r="AI2" s="97"/>
      <c r="AJ2" s="97"/>
      <c r="AK2" s="98"/>
    </row>
    <row r="4" spans="1:37" ht="28.8" x14ac:dyDescent="0.3">
      <c r="A4" s="100" t="s">
        <v>5</v>
      </c>
      <c r="D4" s="2" t="s">
        <v>19</v>
      </c>
      <c r="E4" s="2" t="s">
        <v>20</v>
      </c>
      <c r="F4" s="2" t="s">
        <v>21</v>
      </c>
      <c r="G4" s="2" t="s">
        <v>22</v>
      </c>
      <c r="J4" s="2" t="s">
        <v>19</v>
      </c>
      <c r="K4" s="2" t="s">
        <v>20</v>
      </c>
      <c r="L4" s="2" t="s">
        <v>21</v>
      </c>
      <c r="M4" s="2" t="s">
        <v>22</v>
      </c>
      <c r="P4" s="2" t="s">
        <v>19</v>
      </c>
      <c r="Q4" s="2" t="s">
        <v>20</v>
      </c>
      <c r="R4" s="2" t="s">
        <v>21</v>
      </c>
      <c r="S4" s="2" t="s">
        <v>22</v>
      </c>
      <c r="V4" s="2" t="s">
        <v>19</v>
      </c>
      <c r="W4" s="2" t="s">
        <v>20</v>
      </c>
      <c r="X4" s="2" t="s">
        <v>21</v>
      </c>
      <c r="Y4" s="2" t="s">
        <v>22</v>
      </c>
      <c r="AB4" s="2" t="s">
        <v>19</v>
      </c>
      <c r="AC4" s="2" t="s">
        <v>20</v>
      </c>
      <c r="AD4" s="2" t="s">
        <v>21</v>
      </c>
      <c r="AE4" s="2" t="s">
        <v>22</v>
      </c>
      <c r="AH4" s="2" t="s">
        <v>19</v>
      </c>
      <c r="AI4" s="2" t="s">
        <v>20</v>
      </c>
      <c r="AJ4" s="2" t="s">
        <v>21</v>
      </c>
      <c r="AK4" s="2" t="s">
        <v>22</v>
      </c>
    </row>
    <row r="5" spans="1:37" x14ac:dyDescent="0.3">
      <c r="A5" s="100"/>
      <c r="C5" s="12" t="s">
        <v>23</v>
      </c>
      <c r="D5" s="56">
        <f>OMR!E28</f>
        <v>446.27520000000004</v>
      </c>
      <c r="E5" s="56">
        <f>OMR!F28</f>
        <v>425.04480000000001</v>
      </c>
      <c r="F5" s="56">
        <f>OMR!G28</f>
        <v>423.6450000000001</v>
      </c>
      <c r="G5" s="56">
        <f>OMR!H28</f>
        <v>418.83920000000006</v>
      </c>
      <c r="I5" s="12" t="s">
        <v>23</v>
      </c>
      <c r="J5" s="56">
        <v>472.47675552850473</v>
      </c>
      <c r="K5" s="56">
        <v>439.70800000000003</v>
      </c>
      <c r="L5" s="56">
        <v>439.65580000000006</v>
      </c>
      <c r="M5" s="56">
        <v>422.77379999999999</v>
      </c>
      <c r="O5" s="12" t="s">
        <v>23</v>
      </c>
      <c r="P5" s="56">
        <v>447.68540000000002</v>
      </c>
      <c r="Q5" s="56">
        <v>431.11040000000003</v>
      </c>
      <c r="R5" s="56">
        <v>430.53300000000007</v>
      </c>
      <c r="S5" s="56">
        <v>424.82619999999997</v>
      </c>
      <c r="U5" s="12" t="s">
        <v>23</v>
      </c>
      <c r="V5" s="56">
        <v>427.06180000000001</v>
      </c>
      <c r="W5" s="56">
        <v>397.1748</v>
      </c>
      <c r="X5" s="56">
        <v>396.53960000000001</v>
      </c>
      <c r="Y5" s="56">
        <v>394.25080000000003</v>
      </c>
      <c r="AA5" s="12" t="s">
        <v>23</v>
      </c>
      <c r="AB5" s="56">
        <v>392.04059999999998</v>
      </c>
      <c r="AC5" s="56">
        <v>364.80630000000002</v>
      </c>
      <c r="AD5" s="56">
        <v>364.75740000000002</v>
      </c>
      <c r="AE5" s="56">
        <v>364.75740000000002</v>
      </c>
      <c r="AG5" s="12" t="s">
        <v>23</v>
      </c>
      <c r="AH5" s="56">
        <v>471.66300000000001</v>
      </c>
      <c r="AI5" s="56">
        <v>480.25580000000008</v>
      </c>
      <c r="AJ5" s="56">
        <v>479.80350000000004</v>
      </c>
      <c r="AK5" s="56">
        <v>468.90750000000003</v>
      </c>
    </row>
    <row r="6" spans="1:37" x14ac:dyDescent="0.3">
      <c r="A6" s="100"/>
      <c r="C6" s="54" t="s">
        <v>24</v>
      </c>
      <c r="D6" s="57">
        <f>OMR!E29</f>
        <v>391.75900000000001</v>
      </c>
      <c r="E6" s="57">
        <f>OMR!F29</f>
        <v>377.07399999999996</v>
      </c>
      <c r="F6" s="57">
        <f>OMR!G29</f>
        <v>375.75749999999999</v>
      </c>
      <c r="G6" s="57">
        <f>OMR!H29</f>
        <v>372.64699999999999</v>
      </c>
      <c r="I6" s="54" t="s">
        <v>24</v>
      </c>
      <c r="J6" s="57">
        <v>394.62018513476721</v>
      </c>
      <c r="K6" s="57">
        <v>382.56799999999998</v>
      </c>
      <c r="L6" s="57">
        <v>382.03399999999999</v>
      </c>
      <c r="M6" s="57">
        <v>378.40899999999999</v>
      </c>
      <c r="O6" s="54" t="s">
        <v>24</v>
      </c>
      <c r="P6" s="57">
        <v>391.23930311973015</v>
      </c>
      <c r="Q6" s="57">
        <v>378.74900000000002</v>
      </c>
      <c r="R6" s="57">
        <v>378.59100000000001</v>
      </c>
      <c r="S6" s="57">
        <v>376.14400000000001</v>
      </c>
      <c r="U6" s="54" t="s">
        <v>24</v>
      </c>
      <c r="V6" s="57">
        <v>387.88799999999998</v>
      </c>
      <c r="W6" s="57">
        <v>353.94900000000001</v>
      </c>
      <c r="X6" s="57">
        <v>352.37700000000001</v>
      </c>
      <c r="Y6" s="57">
        <v>352.05900000000003</v>
      </c>
      <c r="AA6" s="54" t="s">
        <v>24</v>
      </c>
      <c r="AB6" s="57">
        <v>355.99950000000001</v>
      </c>
      <c r="AC6" s="57">
        <v>329.99275</v>
      </c>
      <c r="AD6" s="57">
        <v>327.28750000000002</v>
      </c>
      <c r="AE6" s="57">
        <v>323.43849999999998</v>
      </c>
      <c r="AG6" s="54" t="s">
        <v>24</v>
      </c>
      <c r="AH6" s="57">
        <v>404.81475</v>
      </c>
      <c r="AI6" s="57">
        <v>407.22550000000001</v>
      </c>
      <c r="AJ6" s="57">
        <v>405.2885</v>
      </c>
      <c r="AK6" s="57">
        <v>402.40174999999999</v>
      </c>
    </row>
    <row r="7" spans="1:37" x14ac:dyDescent="0.3">
      <c r="A7" s="100"/>
      <c r="C7" s="12" t="s">
        <v>25</v>
      </c>
      <c r="D7" s="56">
        <f>OMR!E30</f>
        <v>332.67729505780665</v>
      </c>
      <c r="E7" s="56">
        <f>OMR!F30</f>
        <v>311.35309448536935</v>
      </c>
      <c r="F7" s="56">
        <f>OMR!G30</f>
        <v>309.57521168124555</v>
      </c>
      <c r="G7" s="56">
        <f>OMR!H30</f>
        <v>307.90601480363057</v>
      </c>
      <c r="I7" s="12" t="s">
        <v>26</v>
      </c>
      <c r="J7" s="56">
        <v>346.49099999999999</v>
      </c>
      <c r="K7" s="56">
        <v>336.55900000000003</v>
      </c>
      <c r="L7" s="56">
        <v>336.173</v>
      </c>
      <c r="M7" s="56">
        <v>331.89299999999997</v>
      </c>
      <c r="O7" s="12" t="s">
        <v>26</v>
      </c>
      <c r="P7" s="56">
        <v>344.45080716723544</v>
      </c>
      <c r="Q7" s="56">
        <v>334.86500000000001</v>
      </c>
      <c r="R7" s="56">
        <v>332.75900000000001</v>
      </c>
      <c r="S7" s="56">
        <v>332.15899999999999</v>
      </c>
      <c r="U7" s="12" t="s">
        <v>26</v>
      </c>
      <c r="V7" s="56">
        <v>336.822</v>
      </c>
      <c r="W7" s="56">
        <v>302.32400000000001</v>
      </c>
      <c r="X7" s="56">
        <v>302.10700000000003</v>
      </c>
      <c r="Y7" s="56">
        <v>297.26400000000001</v>
      </c>
      <c r="AA7" s="12" t="s">
        <v>26</v>
      </c>
      <c r="AB7" s="56">
        <v>311.20680327868854</v>
      </c>
      <c r="AC7" s="56">
        <v>269.88499999999999</v>
      </c>
      <c r="AD7" s="56">
        <v>267.45150000000001</v>
      </c>
      <c r="AE7" s="56">
        <v>264.649</v>
      </c>
      <c r="AG7" s="12" t="s">
        <v>26</v>
      </c>
      <c r="AH7" s="56">
        <v>375.64350000000002</v>
      </c>
      <c r="AI7" s="56">
        <v>363.70600000000002</v>
      </c>
      <c r="AJ7" s="56">
        <v>362.36250000000001</v>
      </c>
      <c r="AK7" s="56">
        <v>359.41499999999996</v>
      </c>
    </row>
    <row r="8" spans="1:37" x14ac:dyDescent="0.3">
      <c r="A8" s="100"/>
      <c r="C8" s="54" t="s">
        <v>27</v>
      </c>
      <c r="D8" s="57">
        <f>OMR!E31</f>
        <v>307.28800000000001</v>
      </c>
      <c r="E8" s="57">
        <f>OMR!F31</f>
        <v>278.745</v>
      </c>
      <c r="F8" s="57">
        <f>OMR!G31</f>
        <v>276.43949999999995</v>
      </c>
      <c r="G8" s="57">
        <f>OMR!H31</f>
        <v>275.04049999999995</v>
      </c>
      <c r="I8" s="54" t="s">
        <v>27</v>
      </c>
      <c r="J8" s="57">
        <v>313.45100000000002</v>
      </c>
      <c r="K8" s="57">
        <v>288.93599999999998</v>
      </c>
      <c r="L8" s="57">
        <v>285.68299999999999</v>
      </c>
      <c r="M8" s="57">
        <v>284.32400000000001</v>
      </c>
      <c r="O8" s="54" t="s">
        <v>27</v>
      </c>
      <c r="P8" s="57">
        <v>306.3075</v>
      </c>
      <c r="Q8" s="57">
        <v>283.83499999999998</v>
      </c>
      <c r="R8" s="57">
        <v>281.49200000000002</v>
      </c>
      <c r="S8" s="57">
        <v>280.62700000000001</v>
      </c>
      <c r="U8" s="54" t="s">
        <v>27</v>
      </c>
      <c r="V8" s="57">
        <v>306.041</v>
      </c>
      <c r="W8" s="57">
        <v>270.762</v>
      </c>
      <c r="X8" s="57">
        <v>268.101</v>
      </c>
      <c r="Y8" s="57">
        <v>267.39400000000001</v>
      </c>
      <c r="AA8" s="54" t="s">
        <v>27</v>
      </c>
      <c r="AB8" s="57">
        <v>265.95653671429488</v>
      </c>
      <c r="AC8" s="57">
        <v>227.185</v>
      </c>
      <c r="AD8" s="57">
        <v>222.74124999999998</v>
      </c>
      <c r="AE8" s="57">
        <v>222.50649999999999</v>
      </c>
      <c r="AG8" s="54" t="s">
        <v>27</v>
      </c>
      <c r="AH8" s="57">
        <v>337.05725000000001</v>
      </c>
      <c r="AI8" s="57">
        <v>322.38024999999999</v>
      </c>
      <c r="AJ8" s="57">
        <v>321.69524999999999</v>
      </c>
      <c r="AK8" s="57">
        <v>316.90350000000001</v>
      </c>
    </row>
    <row r="9" spans="1:37" x14ac:dyDescent="0.3">
      <c r="A9" s="100"/>
      <c r="C9" s="12" t="s">
        <v>28</v>
      </c>
      <c r="D9" s="56">
        <f>OMR!E32</f>
        <v>268.04234607401156</v>
      </c>
      <c r="E9" s="56">
        <f>OMR!F32</f>
        <v>237.2542</v>
      </c>
      <c r="F9" s="56">
        <f>OMR!G32</f>
        <v>234.75</v>
      </c>
      <c r="G9" s="56">
        <f>OMR!H32</f>
        <v>231.50720000000001</v>
      </c>
      <c r="I9" s="12" t="s">
        <v>28</v>
      </c>
      <c r="J9" s="56">
        <v>267.05920854211411</v>
      </c>
      <c r="K9" s="56">
        <v>255.30679999999998</v>
      </c>
      <c r="L9" s="56">
        <v>255.1968</v>
      </c>
      <c r="M9" s="56">
        <v>250.64320000000001</v>
      </c>
      <c r="O9" s="12" t="s">
        <v>28</v>
      </c>
      <c r="P9" s="56">
        <v>270.03572012825083</v>
      </c>
      <c r="Q9" s="56">
        <v>240.62860000000001</v>
      </c>
      <c r="R9" s="56">
        <v>237.74799999999999</v>
      </c>
      <c r="S9" s="56">
        <v>234.34</v>
      </c>
      <c r="U9" s="12" t="s">
        <v>28</v>
      </c>
      <c r="V9" s="56">
        <v>280.26220000000001</v>
      </c>
      <c r="W9" s="56">
        <v>227.66460000000001</v>
      </c>
      <c r="X9" s="56">
        <v>225.5496</v>
      </c>
      <c r="Y9" s="56">
        <v>224.84959999999998</v>
      </c>
      <c r="AA9" s="12" t="s">
        <v>28</v>
      </c>
      <c r="AB9" s="56">
        <v>242.51964366256891</v>
      </c>
      <c r="AC9" s="56">
        <v>189.94740000000002</v>
      </c>
      <c r="AD9" s="56">
        <v>186.4736</v>
      </c>
      <c r="AE9" s="56">
        <v>184.28740000000002</v>
      </c>
      <c r="AG9" s="12" t="s">
        <v>28</v>
      </c>
      <c r="AH9" s="56">
        <v>296.08449999999999</v>
      </c>
      <c r="AI9" s="56">
        <v>259.31220000000002</v>
      </c>
      <c r="AJ9" s="56">
        <v>256.4391</v>
      </c>
      <c r="AK9" s="56">
        <v>255.98830000000001</v>
      </c>
    </row>
    <row r="11" spans="1:37" ht="28.8" x14ac:dyDescent="0.3">
      <c r="A11" s="101" t="s">
        <v>29</v>
      </c>
      <c r="D11" s="2" t="s">
        <v>19</v>
      </c>
      <c r="E11" s="2" t="s">
        <v>20</v>
      </c>
      <c r="F11" s="2" t="s">
        <v>21</v>
      </c>
      <c r="G11" s="2" t="s">
        <v>22</v>
      </c>
      <c r="J11" s="2" t="s">
        <v>19</v>
      </c>
      <c r="K11" s="2" t="s">
        <v>20</v>
      </c>
      <c r="L11" s="2" t="s">
        <v>21</v>
      </c>
      <c r="M11" s="2" t="s">
        <v>22</v>
      </c>
      <c r="P11" s="2" t="s">
        <v>19</v>
      </c>
      <c r="Q11" s="2" t="s">
        <v>20</v>
      </c>
      <c r="R11" s="2" t="s">
        <v>21</v>
      </c>
      <c r="S11" s="2" t="s">
        <v>22</v>
      </c>
      <c r="V11" s="2" t="s">
        <v>19</v>
      </c>
      <c r="W11" s="2" t="s">
        <v>20</v>
      </c>
      <c r="X11" s="2" t="s">
        <v>21</v>
      </c>
      <c r="Y11" s="2" t="s">
        <v>22</v>
      </c>
      <c r="AB11" s="2" t="s">
        <v>19</v>
      </c>
      <c r="AC11" s="2" t="s">
        <v>20</v>
      </c>
      <c r="AD11" s="2" t="s">
        <v>21</v>
      </c>
      <c r="AE11" s="2" t="s">
        <v>22</v>
      </c>
      <c r="AH11" s="2" t="s">
        <v>19</v>
      </c>
      <c r="AI11" s="2" t="s">
        <v>20</v>
      </c>
      <c r="AJ11" s="2" t="s">
        <v>21</v>
      </c>
      <c r="AK11" s="2" t="s">
        <v>22</v>
      </c>
    </row>
    <row r="12" spans="1:37" x14ac:dyDescent="0.3">
      <c r="A12" s="101"/>
      <c r="C12" s="12" t="s">
        <v>23</v>
      </c>
      <c r="D12" s="56">
        <f>'Emb. Verre'!E31</f>
        <v>146.798</v>
      </c>
      <c r="E12" s="56">
        <f>'Emb. Verre'!F31</f>
        <v>126.063</v>
      </c>
      <c r="F12" s="56">
        <f>'Emb. Verre'!G31</f>
        <v>114.52300000000007</v>
      </c>
      <c r="G12" s="56">
        <f>'Emb. Verre'!H31</f>
        <v>113.40500000000003</v>
      </c>
      <c r="I12" s="12" t="s">
        <v>23</v>
      </c>
      <c r="J12" s="56">
        <v>127.946</v>
      </c>
      <c r="K12" s="56">
        <v>100.6374</v>
      </c>
      <c r="L12" s="56">
        <v>91.132400000000004</v>
      </c>
      <c r="M12" s="56">
        <v>86.788200000000003</v>
      </c>
      <c r="O12" s="12" t="s">
        <v>23</v>
      </c>
      <c r="P12" s="56">
        <v>147.40180000000001</v>
      </c>
      <c r="Q12" s="56">
        <v>122.76000000000002</v>
      </c>
      <c r="R12" s="56">
        <v>109.61300000000004</v>
      </c>
      <c r="S12" s="56">
        <v>103.31140000000008</v>
      </c>
      <c r="U12" s="12" t="s">
        <v>23</v>
      </c>
      <c r="V12" s="56">
        <v>168.53800000000001</v>
      </c>
      <c r="W12" s="56">
        <v>166.11660000000001</v>
      </c>
      <c r="X12" s="56">
        <v>153.7244</v>
      </c>
      <c r="Y12" s="56">
        <v>153.7244</v>
      </c>
      <c r="AA12" s="12" t="s">
        <v>23</v>
      </c>
      <c r="AB12" s="56">
        <v>205.20320000000001</v>
      </c>
      <c r="AC12" s="56">
        <v>201.59470000000005</v>
      </c>
      <c r="AD12" s="56">
        <v>193.08490000000003</v>
      </c>
      <c r="AE12" s="56">
        <v>191.32510000000002</v>
      </c>
      <c r="AG12" s="12" t="s">
        <v>23</v>
      </c>
      <c r="AH12" s="56">
        <v>180.03550000000001</v>
      </c>
      <c r="AI12" s="56">
        <v>145.74209999999999</v>
      </c>
      <c r="AJ12" s="56">
        <v>135.66490000000002</v>
      </c>
      <c r="AK12" s="56">
        <v>128.71870000000001</v>
      </c>
    </row>
    <row r="13" spans="1:37" x14ac:dyDescent="0.3">
      <c r="A13" s="101"/>
      <c r="C13" s="54" t="s">
        <v>24</v>
      </c>
      <c r="D13" s="57">
        <f>'Emb. Verre'!E32</f>
        <v>110.98099999999999</v>
      </c>
      <c r="E13" s="57">
        <f>'Emb. Verre'!F32</f>
        <v>85.316000000000003</v>
      </c>
      <c r="F13" s="57">
        <f>'Emb. Verre'!G32</f>
        <v>74.349999999999994</v>
      </c>
      <c r="G13" s="57">
        <f>'Emb. Verre'!H32</f>
        <v>73.043499999999995</v>
      </c>
      <c r="I13" s="54" t="s">
        <v>24</v>
      </c>
      <c r="J13" s="57">
        <v>104.622</v>
      </c>
      <c r="K13" s="57">
        <v>75.81</v>
      </c>
      <c r="L13" s="57">
        <v>65.414000000000001</v>
      </c>
      <c r="M13" s="57">
        <v>64.841999999999999</v>
      </c>
      <c r="O13" s="54" t="s">
        <v>24</v>
      </c>
      <c r="P13" s="57">
        <v>107.69149999999999</v>
      </c>
      <c r="Q13" s="57">
        <v>76.384</v>
      </c>
      <c r="R13" s="57">
        <v>66.974000000000004</v>
      </c>
      <c r="S13" s="57">
        <v>63.326999999999998</v>
      </c>
      <c r="U13" s="54" t="s">
        <v>24</v>
      </c>
      <c r="V13" s="57">
        <v>122.871</v>
      </c>
      <c r="W13" s="57">
        <v>94.997</v>
      </c>
      <c r="X13" s="57">
        <v>86.917000000000002</v>
      </c>
      <c r="Y13" s="57">
        <v>85.888999999999996</v>
      </c>
      <c r="AA13" s="54" t="s">
        <v>24</v>
      </c>
      <c r="AB13" s="57">
        <v>138.7115</v>
      </c>
      <c r="AC13" s="57">
        <v>120.42574999999999</v>
      </c>
      <c r="AD13" s="57">
        <v>110.20375</v>
      </c>
      <c r="AE13" s="57">
        <v>110.20375</v>
      </c>
      <c r="AG13" s="54" t="s">
        <v>24</v>
      </c>
      <c r="AH13" s="57">
        <v>131.779</v>
      </c>
      <c r="AI13" s="57">
        <v>99.315250000000006</v>
      </c>
      <c r="AJ13" s="57">
        <v>87.783000000000001</v>
      </c>
      <c r="AK13" s="57">
        <v>86.347750000000005</v>
      </c>
    </row>
    <row r="14" spans="1:37" x14ac:dyDescent="0.3">
      <c r="A14" s="101"/>
      <c r="C14" s="12" t="s">
        <v>25</v>
      </c>
      <c r="D14" s="56">
        <f>'Emb. Verre'!E33</f>
        <v>101.60515589761452</v>
      </c>
      <c r="E14" s="56">
        <f>'Emb. Verre'!F33</f>
        <v>77.769096640684523</v>
      </c>
      <c r="F14" s="56">
        <f>'Emb. Verre'!G33</f>
        <v>66.55321272161089</v>
      </c>
      <c r="G14" s="56">
        <f>'Emb. Verre'!H33</f>
        <v>65.456187458435352</v>
      </c>
      <c r="I14" s="12" t="s">
        <v>26</v>
      </c>
      <c r="J14" s="56">
        <v>78.515000000000001</v>
      </c>
      <c r="K14" s="56">
        <v>52.512999999999998</v>
      </c>
      <c r="L14" s="56">
        <v>41.226999999999997</v>
      </c>
      <c r="M14" s="56">
        <v>39.247</v>
      </c>
      <c r="O14" s="12" t="s">
        <v>26</v>
      </c>
      <c r="P14" s="56">
        <v>87.42349999999999</v>
      </c>
      <c r="Q14" s="56">
        <v>58.938000000000002</v>
      </c>
      <c r="R14" s="56">
        <v>46.914999999999999</v>
      </c>
      <c r="S14" s="56">
        <v>45.704000000000001</v>
      </c>
      <c r="U14" s="12" t="s">
        <v>26</v>
      </c>
      <c r="V14" s="56">
        <v>102.732</v>
      </c>
      <c r="W14" s="56">
        <v>72.846000000000004</v>
      </c>
      <c r="X14" s="56">
        <v>62.337000000000003</v>
      </c>
      <c r="Y14" s="56">
        <v>62.337000000000003</v>
      </c>
      <c r="AA14" s="12" t="s">
        <v>26</v>
      </c>
      <c r="AB14" s="56">
        <v>108.23099999999999</v>
      </c>
      <c r="AC14" s="56">
        <v>86.905000000000001</v>
      </c>
      <c r="AD14" s="56">
        <v>74.858499999999992</v>
      </c>
      <c r="AE14" s="56">
        <v>73.573499999999996</v>
      </c>
      <c r="AG14" s="12" t="s">
        <v>26</v>
      </c>
      <c r="AH14" s="56">
        <v>102.474</v>
      </c>
      <c r="AI14" s="56">
        <v>73.128</v>
      </c>
      <c r="AJ14" s="56">
        <v>63.874499999999998</v>
      </c>
      <c r="AK14" s="56">
        <v>61.411000000000001</v>
      </c>
    </row>
    <row r="15" spans="1:37" x14ac:dyDescent="0.3">
      <c r="A15" s="101"/>
      <c r="C15" s="54" t="s">
        <v>27</v>
      </c>
      <c r="D15" s="57">
        <f>'Emb. Verre'!E34</f>
        <v>69.608000000000004</v>
      </c>
      <c r="E15" s="57">
        <f>'Emb. Verre'!F34</f>
        <v>41.133499999999998</v>
      </c>
      <c r="F15" s="57">
        <f>'Emb. Verre'!G34</f>
        <v>30.206499999999998</v>
      </c>
      <c r="G15" s="57">
        <f>'Emb. Verre'!H34</f>
        <v>29.72</v>
      </c>
      <c r="I15" s="54" t="s">
        <v>27</v>
      </c>
      <c r="J15" s="57">
        <v>63.566000000000003</v>
      </c>
      <c r="K15" s="57">
        <v>37.725999999999999</v>
      </c>
      <c r="L15" s="57">
        <v>25.870999999999999</v>
      </c>
      <c r="M15" s="57">
        <v>25.486999999999998</v>
      </c>
      <c r="O15" s="54" t="s">
        <v>27</v>
      </c>
      <c r="P15" s="57">
        <v>66.482249999999993</v>
      </c>
      <c r="Q15" s="57">
        <v>38.563000000000002</v>
      </c>
      <c r="R15" s="57">
        <v>27.443999999999999</v>
      </c>
      <c r="S15" s="57">
        <v>26.943999999999999</v>
      </c>
      <c r="U15" s="54" t="s">
        <v>27</v>
      </c>
      <c r="V15" s="57">
        <v>74.501000000000005</v>
      </c>
      <c r="W15" s="57">
        <v>51.561</v>
      </c>
      <c r="X15" s="57">
        <v>40.329000000000001</v>
      </c>
      <c r="Y15" s="57">
        <v>40.329000000000001</v>
      </c>
      <c r="AA15" s="54" t="s">
        <v>27</v>
      </c>
      <c r="AB15" s="57">
        <v>90.704000000000008</v>
      </c>
      <c r="AC15" s="57">
        <v>71.942999999999998</v>
      </c>
      <c r="AD15" s="57">
        <v>58.353000000000002</v>
      </c>
      <c r="AE15" s="57">
        <v>58.03575</v>
      </c>
      <c r="AG15" s="54" t="s">
        <v>27</v>
      </c>
      <c r="AH15" s="57">
        <v>82.648250000000004</v>
      </c>
      <c r="AI15" s="57">
        <v>59.051249999999996</v>
      </c>
      <c r="AJ15" s="57">
        <v>45.804000000000002</v>
      </c>
      <c r="AK15" s="57">
        <v>43.91225</v>
      </c>
    </row>
    <row r="16" spans="1:37" x14ac:dyDescent="0.3">
      <c r="A16" s="101"/>
      <c r="C16" s="12" t="s">
        <v>28</v>
      </c>
      <c r="D16" s="56">
        <f>'Emb. Verre'!E35</f>
        <v>58.744199999999999</v>
      </c>
      <c r="E16" s="56">
        <f>'Emb. Verre'!F35</f>
        <v>31.2182</v>
      </c>
      <c r="F16" s="56">
        <f>'Emb. Verre'!G35</f>
        <v>19.602200000000003</v>
      </c>
      <c r="G16" s="56">
        <f>'Emb. Verre'!H35</f>
        <v>18.834200000000003</v>
      </c>
      <c r="I16" s="12" t="s">
        <v>28</v>
      </c>
      <c r="J16" s="56">
        <v>56.71</v>
      </c>
      <c r="K16" s="56">
        <v>27.1126</v>
      </c>
      <c r="L16" s="56">
        <v>15.965200000000001</v>
      </c>
      <c r="M16" s="56">
        <v>15.516</v>
      </c>
      <c r="O16" s="12" t="s">
        <v>28</v>
      </c>
      <c r="P16" s="56">
        <v>58.633699999999997</v>
      </c>
      <c r="Q16" s="56">
        <v>30.242000000000001</v>
      </c>
      <c r="R16" s="56">
        <v>17.407</v>
      </c>
      <c r="S16" s="56">
        <v>17.407</v>
      </c>
      <c r="U16" s="12" t="s">
        <v>28</v>
      </c>
      <c r="V16" s="56">
        <v>67.567400000000006</v>
      </c>
      <c r="W16" s="56">
        <v>42.55</v>
      </c>
      <c r="X16" s="56">
        <v>31.143800000000002</v>
      </c>
      <c r="Y16" s="56">
        <v>29.569200000000002</v>
      </c>
      <c r="AA16" s="12" t="s">
        <v>28</v>
      </c>
      <c r="AB16" s="56">
        <v>80.17880000000001</v>
      </c>
      <c r="AC16" s="56">
        <v>53.474699999999999</v>
      </c>
      <c r="AD16" s="56">
        <v>41.937100000000001</v>
      </c>
      <c r="AE16" s="56">
        <v>41.321800000000003</v>
      </c>
      <c r="AG16" s="12" t="s">
        <v>28</v>
      </c>
      <c r="AH16" s="56">
        <v>66.222499999999997</v>
      </c>
      <c r="AI16" s="56">
        <v>37.513800000000003</v>
      </c>
      <c r="AJ16" s="56">
        <v>27.573400000000003</v>
      </c>
      <c r="AK16" s="56">
        <v>26.685500000000001</v>
      </c>
    </row>
    <row r="18" spans="1:37" ht="28.8" x14ac:dyDescent="0.3">
      <c r="A18" s="102" t="s">
        <v>30</v>
      </c>
      <c r="D18" s="2" t="s">
        <v>19</v>
      </c>
      <c r="E18" s="2" t="s">
        <v>20</v>
      </c>
      <c r="F18" s="2" t="s">
        <v>21</v>
      </c>
      <c r="G18" s="2" t="s">
        <v>22</v>
      </c>
      <c r="J18" s="2" t="s">
        <v>19</v>
      </c>
      <c r="K18" s="2" t="s">
        <v>20</v>
      </c>
      <c r="L18" s="2" t="s">
        <v>21</v>
      </c>
      <c r="M18" s="2" t="s">
        <v>22</v>
      </c>
      <c r="P18" s="2" t="s">
        <v>19</v>
      </c>
      <c r="Q18" s="2" t="s">
        <v>20</v>
      </c>
      <c r="R18" s="2" t="s">
        <v>21</v>
      </c>
      <c r="S18" s="2" t="s">
        <v>22</v>
      </c>
      <c r="V18" s="2" t="s">
        <v>19</v>
      </c>
      <c r="W18" s="2" t="s">
        <v>20</v>
      </c>
      <c r="X18" s="2" t="s">
        <v>21</v>
      </c>
      <c r="Y18" s="2" t="s">
        <v>22</v>
      </c>
      <c r="AB18" s="2" t="s">
        <v>19</v>
      </c>
      <c r="AC18" s="2" t="s">
        <v>20</v>
      </c>
      <c r="AD18" s="2" t="s">
        <v>21</v>
      </c>
      <c r="AE18" s="2" t="s">
        <v>22</v>
      </c>
      <c r="AH18" s="2" t="s">
        <v>19</v>
      </c>
      <c r="AI18" s="2" t="s">
        <v>20</v>
      </c>
      <c r="AJ18" s="2" t="s">
        <v>21</v>
      </c>
      <c r="AK18" s="2" t="s">
        <v>22</v>
      </c>
    </row>
    <row r="19" spans="1:37" x14ac:dyDescent="0.3">
      <c r="A19" s="102"/>
      <c r="C19" s="12" t="s">
        <v>23</v>
      </c>
      <c r="D19" s="56">
        <f>'Papiers et Emb. HV'!E39</f>
        <v>775.47840000000008</v>
      </c>
      <c r="E19" s="56">
        <f>'Papiers et Emb. HV'!F39</f>
        <v>709.31000000000006</v>
      </c>
      <c r="F19" s="56">
        <f>'Papiers et Emb. HV'!G39</f>
        <v>494.6164</v>
      </c>
      <c r="G19" s="56">
        <f>'Papiers et Emb. HV'!H39</f>
        <v>481.78660000000031</v>
      </c>
      <c r="I19" s="12" t="s">
        <v>23</v>
      </c>
      <c r="J19" s="56">
        <v>773.59699999999998</v>
      </c>
      <c r="K19" s="56">
        <v>691.87300000000005</v>
      </c>
      <c r="L19" s="56">
        <v>451.00220000000002</v>
      </c>
      <c r="M19" s="56">
        <v>443.80619999999999</v>
      </c>
      <c r="O19" s="12" t="s">
        <v>23</v>
      </c>
      <c r="P19" s="56">
        <v>743.6196000000001</v>
      </c>
      <c r="Q19" s="56">
        <v>690.47000000000014</v>
      </c>
      <c r="R19" s="56">
        <v>494.97159999999997</v>
      </c>
      <c r="S19" s="56">
        <v>484.05760000000032</v>
      </c>
      <c r="U19" s="12" t="s">
        <v>23</v>
      </c>
      <c r="V19" s="56">
        <v>805.95360000000016</v>
      </c>
      <c r="W19" s="56">
        <v>777.96519999999998</v>
      </c>
      <c r="X19" s="56">
        <v>521.63139999999999</v>
      </c>
      <c r="Y19" s="56">
        <v>517.16599999999994</v>
      </c>
      <c r="AA19" s="12" t="s">
        <v>23</v>
      </c>
      <c r="AB19" s="56">
        <v>809.07600000000002</v>
      </c>
      <c r="AC19" s="56">
        <v>704.56840000000011</v>
      </c>
      <c r="AD19" s="56">
        <v>517.46619999999996</v>
      </c>
      <c r="AE19" s="56">
        <v>511.68770000000001</v>
      </c>
      <c r="AG19" s="12" t="s">
        <v>23</v>
      </c>
      <c r="AH19" s="56">
        <v>867.8</v>
      </c>
      <c r="AI19" s="56">
        <v>819.17499999999995</v>
      </c>
      <c r="AJ19" s="56">
        <v>604.88940000000002</v>
      </c>
      <c r="AK19" s="56">
        <v>598.05430000000001</v>
      </c>
    </row>
    <row r="20" spans="1:37" x14ac:dyDescent="0.3">
      <c r="A20" s="102"/>
      <c r="C20" s="54" t="s">
        <v>24</v>
      </c>
      <c r="D20" s="57">
        <f>'Papiers et Emb. HV'!E40</f>
        <v>689.46699999999998</v>
      </c>
      <c r="E20" s="57">
        <f>'Papiers et Emb. HV'!F40</f>
        <v>619.12049999999999</v>
      </c>
      <c r="F20" s="57">
        <f>'Papiers et Emb. HV'!G40</f>
        <v>387.49149999999997</v>
      </c>
      <c r="G20" s="57">
        <f>'Papiers et Emb. HV'!H40</f>
        <v>383.72749999999996</v>
      </c>
      <c r="I20" s="54" t="s">
        <v>24</v>
      </c>
      <c r="J20" s="57">
        <v>688.33</v>
      </c>
      <c r="K20" s="57">
        <v>611.51</v>
      </c>
      <c r="L20" s="57">
        <v>375.57900000000001</v>
      </c>
      <c r="M20" s="57">
        <v>372.13400000000001</v>
      </c>
      <c r="O20" s="54" t="s">
        <v>24</v>
      </c>
      <c r="P20" s="57">
        <v>680.71749999999997</v>
      </c>
      <c r="Q20" s="57">
        <v>612.52700000000004</v>
      </c>
      <c r="R20" s="57">
        <v>370.416</v>
      </c>
      <c r="S20" s="57">
        <v>362.19900000000001</v>
      </c>
      <c r="U20" s="54" t="s">
        <v>24</v>
      </c>
      <c r="V20" s="57">
        <v>675.07299999999998</v>
      </c>
      <c r="W20" s="57">
        <v>627.42499999999995</v>
      </c>
      <c r="X20" s="57">
        <v>372.12400000000002</v>
      </c>
      <c r="Y20" s="57">
        <v>367.87400000000002</v>
      </c>
      <c r="AA20" s="54" t="s">
        <v>24</v>
      </c>
      <c r="AB20" s="57">
        <v>708.94900000000007</v>
      </c>
      <c r="AC20" s="57">
        <v>633.45249999999999</v>
      </c>
      <c r="AD20" s="57">
        <v>413.37275</v>
      </c>
      <c r="AE20" s="57">
        <v>413.37275</v>
      </c>
      <c r="AG20" s="54" t="s">
        <v>24</v>
      </c>
      <c r="AH20" s="57">
        <v>740.82799999999997</v>
      </c>
      <c r="AI20" s="57">
        <v>702.71100000000001</v>
      </c>
      <c r="AJ20" s="57">
        <v>458.95150000000001</v>
      </c>
      <c r="AK20" s="57">
        <v>458.43400000000003</v>
      </c>
    </row>
    <row r="21" spans="1:37" x14ac:dyDescent="0.3">
      <c r="A21" s="102"/>
      <c r="C21" s="12" t="s">
        <v>25</v>
      </c>
      <c r="D21" s="56">
        <f>'Papiers et Emb. HV'!E41</f>
        <v>618.94226880664087</v>
      </c>
      <c r="E21" s="56">
        <f>'Papiers et Emb. HV'!F41</f>
        <v>553.27337932680302</v>
      </c>
      <c r="F21" s="56">
        <f>'Papiers et Emb. HV'!G41</f>
        <v>324.3626294984216</v>
      </c>
      <c r="G21" s="56">
        <f>'Papiers et Emb. HV'!H41</f>
        <v>321.26626851316342</v>
      </c>
      <c r="I21" s="12" t="s">
        <v>26</v>
      </c>
      <c r="J21" s="56">
        <v>609.28499999999997</v>
      </c>
      <c r="K21" s="56">
        <v>537.57299999999998</v>
      </c>
      <c r="L21" s="56">
        <v>266.90499999999997</v>
      </c>
      <c r="M21" s="56">
        <v>263.44400000000002</v>
      </c>
      <c r="O21" s="12" t="s">
        <v>26</v>
      </c>
      <c r="P21" s="56">
        <v>575.62149999999997</v>
      </c>
      <c r="Q21" s="56">
        <v>516.31299999999999</v>
      </c>
      <c r="R21" s="56">
        <v>258.95800000000003</v>
      </c>
      <c r="S21" s="56">
        <v>256.25700000000001</v>
      </c>
      <c r="U21" s="12" t="s">
        <v>26</v>
      </c>
      <c r="V21" s="56">
        <v>570.90300000000002</v>
      </c>
      <c r="W21" s="56">
        <v>492.12299999999999</v>
      </c>
      <c r="X21" s="56">
        <v>258.24599999999998</v>
      </c>
      <c r="Y21" s="56">
        <v>257.959</v>
      </c>
      <c r="AA21" s="12" t="s">
        <v>26</v>
      </c>
      <c r="AB21" s="56">
        <v>633.49800000000005</v>
      </c>
      <c r="AC21" s="56">
        <v>553.95800000000008</v>
      </c>
      <c r="AD21" s="56">
        <v>332.67150000000004</v>
      </c>
      <c r="AE21" s="56">
        <v>331.81950000000001</v>
      </c>
      <c r="AG21" s="12" t="s">
        <v>26</v>
      </c>
      <c r="AH21" s="56">
        <v>641.2645</v>
      </c>
      <c r="AI21" s="56">
        <v>556.60449999999992</v>
      </c>
      <c r="AJ21" s="56">
        <v>304.77750000000003</v>
      </c>
      <c r="AK21" s="56">
        <v>294.22899999999998</v>
      </c>
    </row>
    <row r="22" spans="1:37" x14ac:dyDescent="0.3">
      <c r="A22" s="102"/>
      <c r="C22" s="54" t="s">
        <v>27</v>
      </c>
      <c r="D22" s="57">
        <f>'Papiers et Emb. HV'!E42</f>
        <v>512.92200000000003</v>
      </c>
      <c r="E22" s="57">
        <f>'Papiers et Emb. HV'!F42</f>
        <v>447.726</v>
      </c>
      <c r="F22" s="57">
        <f>'Papiers et Emb. HV'!G42</f>
        <v>195.17000000000002</v>
      </c>
      <c r="G22" s="57">
        <f>'Papiers et Emb. HV'!H42</f>
        <v>193.126</v>
      </c>
      <c r="I22" s="54" t="s">
        <v>27</v>
      </c>
      <c r="J22" s="57">
        <v>508.53199999999998</v>
      </c>
      <c r="K22" s="57">
        <v>444.12299999999999</v>
      </c>
      <c r="L22" s="57">
        <v>194</v>
      </c>
      <c r="M22" s="57">
        <v>191.399</v>
      </c>
      <c r="O22" s="54" t="s">
        <v>27</v>
      </c>
      <c r="P22" s="57">
        <v>490.78800000000001</v>
      </c>
      <c r="Q22" s="57">
        <v>426.404</v>
      </c>
      <c r="R22" s="57">
        <v>178.084</v>
      </c>
      <c r="S22" s="57">
        <v>177.21</v>
      </c>
      <c r="U22" s="54" t="s">
        <v>27</v>
      </c>
      <c r="V22" s="57">
        <v>501.59699999999998</v>
      </c>
      <c r="W22" s="57">
        <v>447.77699999999999</v>
      </c>
      <c r="X22" s="57">
        <v>181.56700000000001</v>
      </c>
      <c r="Y22" s="57">
        <v>180.89099999999999</v>
      </c>
      <c r="AA22" s="54" t="s">
        <v>27</v>
      </c>
      <c r="AB22" s="57">
        <v>540.2115</v>
      </c>
      <c r="AC22" s="57">
        <v>479.42499999999995</v>
      </c>
      <c r="AD22" s="57">
        <v>278.2285</v>
      </c>
      <c r="AE22" s="57">
        <v>273.37275</v>
      </c>
      <c r="AG22" s="54" t="s">
        <v>27</v>
      </c>
      <c r="AH22" s="57">
        <v>547.75774999999999</v>
      </c>
      <c r="AI22" s="57">
        <v>488.52125000000001</v>
      </c>
      <c r="AJ22" s="57">
        <v>236.87275</v>
      </c>
      <c r="AK22" s="57">
        <v>227.32925</v>
      </c>
    </row>
    <row r="23" spans="1:37" x14ac:dyDescent="0.3">
      <c r="A23" s="102"/>
      <c r="C23" s="12" t="s">
        <v>28</v>
      </c>
      <c r="D23" s="56">
        <f>'Papiers et Emb. HV'!E43</f>
        <v>454.26499999999999</v>
      </c>
      <c r="E23" s="56">
        <f>'Papiers et Emb. HV'!F43</f>
        <v>392.29739999999998</v>
      </c>
      <c r="F23" s="56">
        <f>'Papiers et Emb. HV'!G43</f>
        <v>129.226</v>
      </c>
      <c r="G23" s="56">
        <f>'Papiers et Emb. HV'!H43</f>
        <v>127.72460000000001</v>
      </c>
      <c r="I23" s="12" t="s">
        <v>28</v>
      </c>
      <c r="J23" s="56">
        <v>437.32</v>
      </c>
      <c r="K23" s="56">
        <v>382.52000000000004</v>
      </c>
      <c r="L23" s="56">
        <v>128.5686</v>
      </c>
      <c r="M23" s="56">
        <v>124.97980000000001</v>
      </c>
      <c r="O23" s="12" t="s">
        <v>28</v>
      </c>
      <c r="P23" s="56">
        <v>441.25369999999998</v>
      </c>
      <c r="Q23" s="56">
        <v>383.41020000000003</v>
      </c>
      <c r="R23" s="56">
        <v>110.96380000000001</v>
      </c>
      <c r="S23" s="56">
        <v>110.96380000000001</v>
      </c>
      <c r="U23" s="12" t="s">
        <v>28</v>
      </c>
      <c r="V23" s="56">
        <v>450.23840000000001</v>
      </c>
      <c r="W23" s="56">
        <v>405.90199999999999</v>
      </c>
      <c r="X23" s="56">
        <v>136.33199999999999</v>
      </c>
      <c r="Y23" s="56">
        <v>134.1584</v>
      </c>
      <c r="AA23" s="12" t="s">
        <v>28</v>
      </c>
      <c r="AB23" s="56">
        <v>507.9092</v>
      </c>
      <c r="AC23" s="56">
        <v>439.80509999999998</v>
      </c>
      <c r="AD23" s="56">
        <v>191.74099999999999</v>
      </c>
      <c r="AE23" s="56">
        <v>190.66980000000001</v>
      </c>
      <c r="AG23" s="12" t="s">
        <v>28</v>
      </c>
      <c r="AH23" s="56">
        <v>503.29650000000004</v>
      </c>
      <c r="AI23" s="56">
        <v>414.00810000000001</v>
      </c>
      <c r="AJ23" s="56">
        <v>163.56989999999999</v>
      </c>
      <c r="AK23" s="56">
        <v>160.79940000000002</v>
      </c>
    </row>
    <row r="25" spans="1:37" ht="28.8" x14ac:dyDescent="0.3">
      <c r="A25" s="103" t="s">
        <v>8</v>
      </c>
      <c r="D25" s="2" t="s">
        <v>19</v>
      </c>
      <c r="E25" s="2" t="s">
        <v>20</v>
      </c>
      <c r="F25" s="2" t="s">
        <v>21</v>
      </c>
      <c r="G25" s="2" t="s">
        <v>22</v>
      </c>
      <c r="J25" s="2" t="s">
        <v>19</v>
      </c>
      <c r="K25" s="2" t="s">
        <v>20</v>
      </c>
      <c r="L25" s="2" t="s">
        <v>21</v>
      </c>
      <c r="M25" s="2" t="s">
        <v>22</v>
      </c>
      <c r="P25" s="2" t="s">
        <v>19</v>
      </c>
      <c r="Q25" s="2" t="s">
        <v>20</v>
      </c>
      <c r="R25" s="2" t="s">
        <v>21</v>
      </c>
      <c r="S25" s="2" t="s">
        <v>22</v>
      </c>
      <c r="V25" s="2" t="s">
        <v>19</v>
      </c>
      <c r="W25" s="2" t="s">
        <v>20</v>
      </c>
      <c r="X25" s="2" t="s">
        <v>21</v>
      </c>
      <c r="Y25" s="2" t="s">
        <v>22</v>
      </c>
      <c r="AB25" s="2" t="s">
        <v>19</v>
      </c>
      <c r="AC25" s="2" t="s">
        <v>20</v>
      </c>
      <c r="AD25" s="2" t="s">
        <v>21</v>
      </c>
      <c r="AE25" s="2" t="s">
        <v>22</v>
      </c>
      <c r="AH25" s="2" t="s">
        <v>19</v>
      </c>
      <c r="AI25" s="2" t="s">
        <v>20</v>
      </c>
      <c r="AJ25" s="2" t="s">
        <v>21</v>
      </c>
      <c r="AK25" s="2" t="s">
        <v>22</v>
      </c>
    </row>
    <row r="26" spans="1:37" x14ac:dyDescent="0.3">
      <c r="A26" s="103"/>
      <c r="C26" s="12" t="s">
        <v>23</v>
      </c>
      <c r="D26" s="56">
        <f>Déchèteries!E28</f>
        <v>242.52980000000002</v>
      </c>
      <c r="E26" s="56">
        <f>Déchèteries!F28</f>
        <v>240.55080000000001</v>
      </c>
      <c r="F26" s="56">
        <f>Déchèteries!G28</f>
        <v>228.1456</v>
      </c>
      <c r="G26" s="56">
        <f>Déchèteries!H28</f>
        <v>224.04580000000004</v>
      </c>
      <c r="I26" s="12" t="s">
        <v>23</v>
      </c>
      <c r="J26" s="56">
        <v>232.35300000000001</v>
      </c>
      <c r="K26" s="56">
        <v>231.01660000000001</v>
      </c>
      <c r="L26" s="56">
        <v>221.35640000000001</v>
      </c>
      <c r="M26" s="56">
        <v>218.41919999999999</v>
      </c>
      <c r="O26" s="12" t="s">
        <v>23</v>
      </c>
      <c r="P26" s="56">
        <v>240.43260000000001</v>
      </c>
      <c r="Q26" s="56">
        <v>230.54999999999998</v>
      </c>
      <c r="R26" s="56">
        <v>222.78580000000002</v>
      </c>
      <c r="S26" s="56">
        <v>222.0378</v>
      </c>
      <c r="U26" s="12" t="s">
        <v>23</v>
      </c>
      <c r="V26" s="56">
        <v>239.50060000000002</v>
      </c>
      <c r="W26" s="56">
        <v>236.02200000000002</v>
      </c>
      <c r="X26" s="56">
        <v>225.97160000000002</v>
      </c>
      <c r="Y26" s="56">
        <v>215.63600000000002</v>
      </c>
      <c r="AA26" s="12" t="s">
        <v>23</v>
      </c>
      <c r="AB26" s="56">
        <v>231.4786</v>
      </c>
      <c r="AC26" s="56">
        <v>248.53360000000001</v>
      </c>
      <c r="AD26" s="56">
        <v>240.42140000000001</v>
      </c>
      <c r="AE26" s="56">
        <v>238.16059999999999</v>
      </c>
      <c r="AG26" s="12" t="s">
        <v>23</v>
      </c>
      <c r="AH26" s="56">
        <v>307.00299999999999</v>
      </c>
      <c r="AI26" s="56">
        <v>280.73920000000004</v>
      </c>
      <c r="AJ26" s="56">
        <v>265.13590000000005</v>
      </c>
      <c r="AK26" s="56">
        <v>256.27650000000006</v>
      </c>
    </row>
    <row r="27" spans="1:37" x14ac:dyDescent="0.3">
      <c r="A27" s="103"/>
      <c r="C27" s="54" t="s">
        <v>24</v>
      </c>
      <c r="D27" s="57">
        <f>Déchèteries!E29</f>
        <v>218.35400000000001</v>
      </c>
      <c r="E27" s="57">
        <f>Déchèteries!F29</f>
        <v>208.80500000000001</v>
      </c>
      <c r="F27" s="57">
        <f>Déchèteries!G29</f>
        <v>200.21899999999999</v>
      </c>
      <c r="G27" s="57">
        <f>Déchèteries!H29</f>
        <v>196.1515</v>
      </c>
      <c r="I27" s="54" t="s">
        <v>24</v>
      </c>
      <c r="J27" s="57">
        <v>207.16</v>
      </c>
      <c r="K27" s="57">
        <v>205.238</v>
      </c>
      <c r="L27" s="57">
        <v>195.3</v>
      </c>
      <c r="M27" s="57">
        <v>186.01499999999999</v>
      </c>
      <c r="O27" s="54" t="s">
        <v>24</v>
      </c>
      <c r="P27" s="57">
        <v>212.75925000000001</v>
      </c>
      <c r="Q27" s="57">
        <v>203.30699999999999</v>
      </c>
      <c r="R27" s="57">
        <v>197.53700000000001</v>
      </c>
      <c r="S27" s="57">
        <v>192.40299999999999</v>
      </c>
      <c r="U27" s="54" t="s">
        <v>24</v>
      </c>
      <c r="V27" s="57">
        <v>220.74100000000001</v>
      </c>
      <c r="W27" s="57">
        <v>208.55199999999999</v>
      </c>
      <c r="X27" s="57">
        <v>202.72300000000001</v>
      </c>
      <c r="Y27" s="57">
        <v>200.96600000000001</v>
      </c>
      <c r="AA27" s="54" t="s">
        <v>24</v>
      </c>
      <c r="AB27" s="57">
        <v>220.767</v>
      </c>
      <c r="AC27" s="57">
        <v>217.19400000000002</v>
      </c>
      <c r="AD27" s="57">
        <v>213.02199999999999</v>
      </c>
      <c r="AE27" s="57">
        <v>212.36375000000001</v>
      </c>
      <c r="AG27" s="54" t="s">
        <v>24</v>
      </c>
      <c r="AH27" s="57">
        <v>249.26425</v>
      </c>
      <c r="AI27" s="57">
        <v>237.98525000000001</v>
      </c>
      <c r="AJ27" s="57">
        <v>219.499</v>
      </c>
      <c r="AK27" s="57">
        <v>210.48875000000001</v>
      </c>
    </row>
    <row r="28" spans="1:37" x14ac:dyDescent="0.3">
      <c r="A28" s="103"/>
      <c r="C28" s="12" t="s">
        <v>25</v>
      </c>
      <c r="D28" s="56">
        <f>Déchèteries!E30</f>
        <v>185.01116593931684</v>
      </c>
      <c r="E28" s="56">
        <f>Déchèteries!F30</f>
        <v>180.80448664447425</v>
      </c>
      <c r="F28" s="56">
        <f>Déchèteries!G30</f>
        <v>172.87101228672915</v>
      </c>
      <c r="G28" s="56">
        <f>Déchèteries!H30</f>
        <v>170.8922122192015</v>
      </c>
      <c r="I28" s="12" t="s">
        <v>26</v>
      </c>
      <c r="J28" s="56">
        <v>180.87799999999999</v>
      </c>
      <c r="K28" s="56">
        <v>172.41</v>
      </c>
      <c r="L28" s="56">
        <v>162.80199999999999</v>
      </c>
      <c r="M28" s="56">
        <v>158.70400000000001</v>
      </c>
      <c r="O28" s="12" t="s">
        <v>26</v>
      </c>
      <c r="P28" s="56">
        <v>187.923</v>
      </c>
      <c r="Q28" s="56">
        <v>176.529</v>
      </c>
      <c r="R28" s="56">
        <v>162.054</v>
      </c>
      <c r="S28" s="56">
        <v>160.17599999999999</v>
      </c>
      <c r="U28" s="12" t="s">
        <v>26</v>
      </c>
      <c r="V28" s="56">
        <v>195.947</v>
      </c>
      <c r="W28" s="56">
        <v>176.983</v>
      </c>
      <c r="X28" s="56">
        <v>168.39500000000001</v>
      </c>
      <c r="Y28" s="56">
        <v>167.88300000000001</v>
      </c>
      <c r="AA28" s="12" t="s">
        <v>26</v>
      </c>
      <c r="AB28" s="56">
        <v>190.87200000000001</v>
      </c>
      <c r="AC28" s="56">
        <v>189.41500000000002</v>
      </c>
      <c r="AD28" s="56">
        <v>177.9795</v>
      </c>
      <c r="AE28" s="56">
        <v>176.7175</v>
      </c>
      <c r="AG28" s="12" t="s">
        <v>26</v>
      </c>
      <c r="AH28" s="56">
        <v>191.18700000000001</v>
      </c>
      <c r="AI28" s="56">
        <v>181.64250000000001</v>
      </c>
      <c r="AJ28" s="56">
        <v>166.6825</v>
      </c>
      <c r="AK28" s="56">
        <v>163.4785</v>
      </c>
    </row>
    <row r="29" spans="1:37" x14ac:dyDescent="0.3">
      <c r="A29" s="103"/>
      <c r="C29" s="54" t="s">
        <v>27</v>
      </c>
      <c r="D29" s="57">
        <f>Déchèteries!E31</f>
        <v>157.36600000000001</v>
      </c>
      <c r="E29" s="57">
        <f>Déchèteries!F31</f>
        <v>148.37</v>
      </c>
      <c r="F29" s="57">
        <f>Déchèteries!G31</f>
        <v>139.74250000000001</v>
      </c>
      <c r="G29" s="57">
        <f>Déchèteries!H31</f>
        <v>137.619</v>
      </c>
      <c r="I29" s="54" t="s">
        <v>27</v>
      </c>
      <c r="J29" s="57">
        <v>155.524</v>
      </c>
      <c r="K29" s="57">
        <v>145.256</v>
      </c>
      <c r="L29" s="57">
        <v>138.27600000000001</v>
      </c>
      <c r="M29" s="57">
        <v>135.13900000000001</v>
      </c>
      <c r="O29" s="54" t="s">
        <v>27</v>
      </c>
      <c r="P29" s="57">
        <v>158.3295</v>
      </c>
      <c r="Q29" s="57">
        <v>147.685</v>
      </c>
      <c r="R29" s="57">
        <v>137.601</v>
      </c>
      <c r="S29" s="57">
        <v>136.12700000000001</v>
      </c>
      <c r="U29" s="54" t="s">
        <v>27</v>
      </c>
      <c r="V29" s="57">
        <v>158.14699999999999</v>
      </c>
      <c r="W29" s="57">
        <v>146.161</v>
      </c>
      <c r="X29" s="57">
        <v>140.41300000000001</v>
      </c>
      <c r="Y29" s="57">
        <v>139.738</v>
      </c>
      <c r="AA29" s="54" t="s">
        <v>27</v>
      </c>
      <c r="AB29" s="57">
        <v>168.56099999999998</v>
      </c>
      <c r="AC29" s="57">
        <v>164.10724999999999</v>
      </c>
      <c r="AD29" s="57">
        <v>153.37074999999999</v>
      </c>
      <c r="AE29" s="57">
        <v>152.66499999999999</v>
      </c>
      <c r="AG29" s="54" t="s">
        <v>27</v>
      </c>
      <c r="AH29" s="57">
        <v>157.47299999999998</v>
      </c>
      <c r="AI29" s="57">
        <v>143.53899999999999</v>
      </c>
      <c r="AJ29" s="57">
        <v>134.03874999999999</v>
      </c>
      <c r="AK29" s="57">
        <v>133.24549999999999</v>
      </c>
    </row>
    <row r="30" spans="1:37" x14ac:dyDescent="0.3">
      <c r="A30" s="103"/>
      <c r="C30" s="12" t="s">
        <v>28</v>
      </c>
      <c r="D30" s="56">
        <f>Déchèteries!E32</f>
        <v>130.99860000000001</v>
      </c>
      <c r="E30" s="56">
        <f>Déchèteries!F32</f>
        <v>124.06</v>
      </c>
      <c r="F30" s="56">
        <f>Déchèteries!G32</f>
        <v>114.6276</v>
      </c>
      <c r="G30" s="56">
        <f>Déchèteries!H32</f>
        <v>113.42739999999999</v>
      </c>
      <c r="I30" s="12" t="s">
        <v>28</v>
      </c>
      <c r="J30" s="56">
        <v>128.14099999999999</v>
      </c>
      <c r="K30" s="56">
        <v>122.265</v>
      </c>
      <c r="L30" s="56">
        <v>114.4832</v>
      </c>
      <c r="M30" s="56">
        <v>111.88120000000001</v>
      </c>
      <c r="O30" s="12" t="s">
        <v>28</v>
      </c>
      <c r="P30" s="56">
        <v>131.67099999999999</v>
      </c>
      <c r="Q30" s="56">
        <v>118.6254</v>
      </c>
      <c r="R30" s="56">
        <v>110.6122</v>
      </c>
      <c r="S30" s="56">
        <v>108.53399999999999</v>
      </c>
      <c r="U30" s="12" t="s">
        <v>28</v>
      </c>
      <c r="V30" s="56">
        <v>139.38059999999999</v>
      </c>
      <c r="W30" s="56">
        <v>134.21120000000002</v>
      </c>
      <c r="X30" s="56">
        <v>129.14840000000001</v>
      </c>
      <c r="Y30" s="56">
        <v>127.4586</v>
      </c>
      <c r="AA30" s="12" t="s">
        <v>28</v>
      </c>
      <c r="AB30" s="56">
        <v>138.89019999999999</v>
      </c>
      <c r="AC30" s="56">
        <v>138.6285</v>
      </c>
      <c r="AD30" s="56">
        <v>130.4537</v>
      </c>
      <c r="AE30" s="56">
        <v>129.9914</v>
      </c>
      <c r="AG30" s="12" t="s">
        <v>28</v>
      </c>
      <c r="AH30" s="56">
        <v>128.8015</v>
      </c>
      <c r="AI30" s="56">
        <v>124.9517</v>
      </c>
      <c r="AJ30" s="56">
        <v>113.46850000000001</v>
      </c>
      <c r="AK30" s="56">
        <v>109.31150000000001</v>
      </c>
    </row>
  </sheetData>
  <sheetProtection sheet="1" objects="1" scenarios="1"/>
  <mergeCells count="11">
    <mergeCell ref="D1:K1"/>
    <mergeCell ref="A4:A9"/>
    <mergeCell ref="A11:A16"/>
    <mergeCell ref="A18:A23"/>
    <mergeCell ref="A25:A30"/>
    <mergeCell ref="AG2:AK2"/>
    <mergeCell ref="C2:G2"/>
    <mergeCell ref="I2:M2"/>
    <mergeCell ref="O2:S2"/>
    <mergeCell ref="U2:Y2"/>
    <mergeCell ref="AA2:AE2"/>
  </mergeCells>
  <hyperlinks>
    <hyperlink ref="D1" location="Sommaire!A1" display="Retour sommaire annexe" xr:uid="{6BB9DBD1-8C1B-46CF-A4E4-DEFDA8951428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3"/>
  <sheetViews>
    <sheetView showGridLines="0" topLeftCell="C1" workbookViewId="0">
      <selection activeCell="C1" sqref="C1:O1"/>
    </sheetView>
  </sheetViews>
  <sheetFormatPr baseColWidth="10" defaultColWidth="11.44140625" defaultRowHeight="14.4" x14ac:dyDescent="0.3"/>
  <cols>
    <col min="1" max="2" width="11.44140625" hidden="1" customWidth="1"/>
    <col min="3" max="3" width="3.33203125" customWidth="1"/>
    <col min="4" max="4" width="25.33203125" style="1" bestFit="1" customWidth="1"/>
    <col min="5" max="19" width="16.6640625" customWidth="1"/>
  </cols>
  <sheetData>
    <row r="1" spans="1:15" ht="18" x14ac:dyDescent="0.35">
      <c r="C1" s="81" t="s">
        <v>0</v>
      </c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x14ac:dyDescent="0.3">
      <c r="C2" s="59"/>
      <c r="D2" s="99" t="s">
        <v>12</v>
      </c>
      <c r="E2" s="99"/>
      <c r="F2" s="99"/>
      <c r="G2" s="99"/>
      <c r="H2" s="99"/>
      <c r="I2" s="99"/>
      <c r="J2" s="99"/>
      <c r="K2" s="99"/>
      <c r="L2" s="11"/>
      <c r="M2" s="1"/>
    </row>
    <row r="3" spans="1:15" x14ac:dyDescent="0.3">
      <c r="C3" s="59"/>
      <c r="D3" s="60"/>
      <c r="E3" s="59"/>
      <c r="F3" s="59"/>
      <c r="G3" s="59"/>
      <c r="K3" s="59"/>
      <c r="L3" s="59"/>
      <c r="M3" s="72"/>
    </row>
    <row r="4" spans="1:15" x14ac:dyDescent="0.3">
      <c r="C4" s="59"/>
      <c r="D4" s="109"/>
      <c r="E4" s="109"/>
      <c r="F4" s="109"/>
      <c r="G4" s="109"/>
      <c r="H4" s="109"/>
      <c r="I4" s="109"/>
      <c r="J4" s="109"/>
      <c r="K4" s="109"/>
      <c r="L4" s="78"/>
      <c r="M4" s="72"/>
    </row>
    <row r="5" spans="1:15" x14ac:dyDescent="0.3">
      <c r="C5" s="59"/>
      <c r="D5" s="99" t="s">
        <v>31</v>
      </c>
      <c r="E5" s="99"/>
      <c r="F5" s="99"/>
      <c r="G5" s="99"/>
      <c r="H5" s="99"/>
      <c r="I5" s="99"/>
      <c r="J5" s="99"/>
      <c r="K5" s="99"/>
      <c r="L5" s="11"/>
      <c r="M5" s="72"/>
    </row>
    <row r="6" spans="1:15" x14ac:dyDescent="0.3">
      <c r="C6" s="59"/>
      <c r="D6" s="99" t="s">
        <v>32</v>
      </c>
      <c r="E6" s="99"/>
      <c r="F6" s="99"/>
      <c r="G6" s="99"/>
      <c r="H6" s="99"/>
      <c r="I6" s="99"/>
      <c r="J6" s="99"/>
      <c r="K6" s="99"/>
      <c r="L6" s="11"/>
      <c r="M6" s="72"/>
    </row>
    <row r="7" spans="1:15" x14ac:dyDescent="0.3">
      <c r="C7" s="59"/>
      <c r="D7" s="99" t="s">
        <v>33</v>
      </c>
      <c r="E7" s="99"/>
      <c r="F7" s="99"/>
      <c r="G7" s="99"/>
      <c r="H7" s="99"/>
      <c r="I7" s="99"/>
      <c r="J7" s="99"/>
      <c r="K7" s="99"/>
      <c r="L7" s="11"/>
      <c r="M7" s="72"/>
    </row>
    <row r="8" spans="1:15" x14ac:dyDescent="0.3">
      <c r="C8" s="59"/>
      <c r="D8" s="99" t="s">
        <v>34</v>
      </c>
      <c r="E8" s="99"/>
      <c r="F8" s="99"/>
      <c r="G8" s="99"/>
      <c r="H8" s="99"/>
      <c r="I8" s="99"/>
      <c r="J8" s="99"/>
      <c r="K8" s="99"/>
      <c r="L8" s="11"/>
      <c r="M8" s="72"/>
    </row>
    <row r="9" spans="1:15" x14ac:dyDescent="0.3">
      <c r="C9" s="59"/>
      <c r="D9" s="60"/>
      <c r="E9" s="59"/>
      <c r="F9" s="59"/>
      <c r="G9" s="59"/>
      <c r="H9" s="59"/>
      <c r="I9" s="59"/>
      <c r="J9" s="59"/>
      <c r="K9" s="59"/>
      <c r="L9" s="59"/>
      <c r="M9" s="72"/>
    </row>
    <row r="10" spans="1:15" ht="18" x14ac:dyDescent="0.35">
      <c r="A10" s="104"/>
      <c r="C10" s="81" t="str">
        <f>D5</f>
        <v>Tous flux - Coûts de synthèse</v>
      </c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</row>
    <row r="11" spans="1:15" x14ac:dyDescent="0.3">
      <c r="A11" s="104"/>
      <c r="C11" s="106" t="s">
        <v>35</v>
      </c>
      <c r="D11" s="106"/>
      <c r="E11" s="59"/>
      <c r="F11" s="59"/>
      <c r="G11" s="59"/>
      <c r="H11" s="59"/>
      <c r="I11" s="59"/>
      <c r="J11" s="59"/>
      <c r="K11" s="59"/>
      <c r="L11" s="59"/>
    </row>
    <row r="12" spans="1:15" x14ac:dyDescent="0.3">
      <c r="A12" s="104"/>
      <c r="C12" s="59"/>
      <c r="D12" s="59"/>
      <c r="E12" s="2" t="s">
        <v>19</v>
      </c>
      <c r="F12" s="2" t="s">
        <v>20</v>
      </c>
      <c r="G12" s="2" t="s">
        <v>21</v>
      </c>
      <c r="H12" s="2" t="s">
        <v>22</v>
      </c>
      <c r="I12" s="59"/>
      <c r="J12" s="59"/>
      <c r="K12" s="59"/>
      <c r="L12" s="59"/>
    </row>
    <row r="13" spans="1:15" x14ac:dyDescent="0.3">
      <c r="A13" s="104"/>
      <c r="C13" s="59"/>
      <c r="D13" s="3" t="s">
        <v>36</v>
      </c>
      <c r="E13" s="4">
        <v>443</v>
      </c>
      <c r="F13" s="4">
        <v>597</v>
      </c>
      <c r="G13" s="4">
        <f>F13</f>
        <v>597</v>
      </c>
      <c r="H13" s="4">
        <f>F13</f>
        <v>597</v>
      </c>
      <c r="I13" s="59"/>
      <c r="J13" s="59"/>
      <c r="K13" s="59"/>
      <c r="L13" s="59"/>
    </row>
    <row r="14" spans="1:15" x14ac:dyDescent="0.3">
      <c r="A14" s="104"/>
      <c r="C14" s="59"/>
      <c r="D14" s="3" t="s">
        <v>37</v>
      </c>
      <c r="E14" s="79">
        <v>23188175</v>
      </c>
      <c r="F14" s="79">
        <v>36422353</v>
      </c>
      <c r="G14" s="79">
        <f>F14</f>
        <v>36422353</v>
      </c>
      <c r="H14" s="79">
        <f>F14</f>
        <v>36422353</v>
      </c>
      <c r="I14" s="59"/>
      <c r="J14" s="59"/>
      <c r="K14" s="59"/>
      <c r="L14" s="59"/>
    </row>
    <row r="15" spans="1:15" x14ac:dyDescent="0.3">
      <c r="A15" s="104"/>
      <c r="C15" s="59"/>
      <c r="D15" s="3" t="s">
        <v>38</v>
      </c>
      <c r="E15" s="71">
        <v>517.53975361795028</v>
      </c>
      <c r="F15" s="71">
        <v>517.63772192520207</v>
      </c>
      <c r="G15" s="71">
        <f>F15</f>
        <v>517.63772192520207</v>
      </c>
      <c r="H15" s="71">
        <f>F15</f>
        <v>517.63772192520207</v>
      </c>
      <c r="I15" s="59"/>
      <c r="J15" s="59"/>
      <c r="K15" s="59"/>
      <c r="L15" s="59"/>
    </row>
    <row r="16" spans="1:15" x14ac:dyDescent="0.3">
      <c r="A16" s="104"/>
      <c r="C16" s="59"/>
      <c r="D16" s="60"/>
      <c r="E16" s="59"/>
      <c r="F16" s="59"/>
      <c r="G16" s="59"/>
      <c r="H16" s="59"/>
      <c r="I16" s="59"/>
      <c r="J16" s="59"/>
      <c r="K16" s="59"/>
      <c r="L16" s="59"/>
    </row>
    <row r="17" spans="1:15" x14ac:dyDescent="0.3">
      <c r="A17" s="104"/>
      <c r="C17" s="59"/>
      <c r="D17"/>
      <c r="E17" s="2" t="s">
        <v>19</v>
      </c>
      <c r="F17" s="2" t="s">
        <v>20</v>
      </c>
      <c r="G17" s="2" t="s">
        <v>21</v>
      </c>
      <c r="H17" s="2" t="s">
        <v>22</v>
      </c>
      <c r="I17" s="59"/>
      <c r="J17" s="59"/>
      <c r="K17" s="59"/>
      <c r="L17" s="59"/>
    </row>
    <row r="18" spans="1:15" x14ac:dyDescent="0.3">
      <c r="A18" s="104"/>
      <c r="C18" s="107" t="s">
        <v>39</v>
      </c>
      <c r="D18" s="17" t="s">
        <v>23</v>
      </c>
      <c r="E18" s="36">
        <v>204.64040000000003</v>
      </c>
      <c r="F18" s="36">
        <v>193.08180000000007</v>
      </c>
      <c r="G18" s="36">
        <v>178.24719999999999</v>
      </c>
      <c r="H18" s="36">
        <v>177.57040000000003</v>
      </c>
      <c r="I18" s="59"/>
      <c r="J18" s="59"/>
      <c r="K18" s="59"/>
      <c r="L18" s="59"/>
    </row>
    <row r="19" spans="1:15" x14ac:dyDescent="0.3">
      <c r="A19" s="104"/>
      <c r="C19" s="107"/>
      <c r="D19" s="16" t="s">
        <v>24</v>
      </c>
      <c r="E19" s="28">
        <v>168.85065518838368</v>
      </c>
      <c r="F19" s="28">
        <v>157.12900000000002</v>
      </c>
      <c r="G19" s="28">
        <v>141.458</v>
      </c>
      <c r="H19" s="28">
        <v>139.37299999999999</v>
      </c>
      <c r="I19" s="59"/>
      <c r="J19" s="59"/>
      <c r="K19" s="59"/>
      <c r="L19" s="59"/>
    </row>
    <row r="20" spans="1:15" x14ac:dyDescent="0.3">
      <c r="A20" s="104"/>
      <c r="C20" s="107"/>
      <c r="D20" s="35" t="s">
        <v>25</v>
      </c>
      <c r="E20" s="36">
        <v>152.72759946180767</v>
      </c>
      <c r="F20" s="36">
        <v>141.76116685866839</v>
      </c>
      <c r="G20" s="36">
        <v>127.84698935146415</v>
      </c>
      <c r="H20" s="36">
        <v>126.86157664376694</v>
      </c>
      <c r="I20" s="59"/>
      <c r="J20" s="59"/>
      <c r="K20" s="59"/>
      <c r="L20" s="59"/>
    </row>
    <row r="21" spans="1:15" x14ac:dyDescent="0.3">
      <c r="A21" s="104"/>
      <c r="C21" s="107"/>
      <c r="D21" s="16" t="s">
        <v>27</v>
      </c>
      <c r="E21" s="28">
        <v>127.771</v>
      </c>
      <c r="F21" s="28">
        <v>116.5265</v>
      </c>
      <c r="G21" s="28">
        <v>99.771999999999991</v>
      </c>
      <c r="H21" s="28">
        <v>99.032000000000011</v>
      </c>
      <c r="I21" s="59"/>
      <c r="J21" s="59"/>
      <c r="K21" s="59"/>
      <c r="L21" s="59"/>
    </row>
    <row r="22" spans="1:15" x14ac:dyDescent="0.3">
      <c r="A22" s="104"/>
      <c r="C22" s="107"/>
      <c r="D22" s="17" t="s">
        <v>28</v>
      </c>
      <c r="E22" s="36">
        <v>117.19135286534971</v>
      </c>
      <c r="F22" s="36">
        <v>102.8034</v>
      </c>
      <c r="G22" s="36">
        <v>87.442799999999991</v>
      </c>
      <c r="H22" s="36">
        <v>86.4298</v>
      </c>
      <c r="I22" s="59"/>
      <c r="J22" s="59"/>
      <c r="K22" s="59"/>
      <c r="L22" s="59"/>
    </row>
    <row r="23" spans="1:15" x14ac:dyDescent="0.3">
      <c r="A23" s="104"/>
      <c r="C23" s="59"/>
      <c r="D23" s="59"/>
      <c r="E23" s="61"/>
      <c r="F23" s="61"/>
      <c r="G23" s="61"/>
      <c r="H23" s="61"/>
      <c r="I23" s="59"/>
      <c r="J23" s="59"/>
      <c r="K23" s="59"/>
      <c r="L23" s="59"/>
    </row>
    <row r="24" spans="1:15" x14ac:dyDescent="0.3">
      <c r="A24" s="104"/>
      <c r="C24" s="59"/>
      <c r="D24" s="59"/>
      <c r="E24" s="2" t="s">
        <v>19</v>
      </c>
      <c r="F24" s="2" t="s">
        <v>20</v>
      </c>
      <c r="G24" s="2" t="s">
        <v>21</v>
      </c>
      <c r="H24" s="2" t="s">
        <v>22</v>
      </c>
      <c r="I24" s="59"/>
      <c r="J24" s="59"/>
      <c r="K24" s="59"/>
      <c r="L24" s="59"/>
    </row>
    <row r="25" spans="1:15" x14ac:dyDescent="0.3">
      <c r="A25" s="104"/>
      <c r="C25" s="108" t="s">
        <v>40</v>
      </c>
      <c r="D25" s="7" t="s">
        <v>23</v>
      </c>
      <c r="E25" s="10">
        <v>340.10103502824859</v>
      </c>
      <c r="F25" s="10">
        <v>327.30279999999999</v>
      </c>
      <c r="G25" s="10">
        <v>295.08320000000003</v>
      </c>
      <c r="H25" s="10">
        <v>292.02760000000001</v>
      </c>
      <c r="I25" s="59"/>
      <c r="J25" s="59"/>
      <c r="K25" s="59"/>
      <c r="L25" s="59"/>
    </row>
    <row r="26" spans="1:15" x14ac:dyDescent="0.3">
      <c r="A26" s="104"/>
      <c r="C26" s="108"/>
      <c r="D26" s="5" t="s">
        <v>24</v>
      </c>
      <c r="E26" s="6">
        <v>307.73947623506768</v>
      </c>
      <c r="F26" s="6">
        <v>293.89850000000001</v>
      </c>
      <c r="G26" s="6">
        <v>263.47450000000003</v>
      </c>
      <c r="H26" s="6">
        <v>260.46400000000006</v>
      </c>
      <c r="I26" s="59"/>
      <c r="J26" s="59"/>
      <c r="K26" s="59"/>
      <c r="L26" s="59"/>
    </row>
    <row r="27" spans="1:15" x14ac:dyDescent="0.3">
      <c r="A27" s="104"/>
      <c r="C27" s="108"/>
      <c r="D27" s="7" t="s">
        <v>25</v>
      </c>
      <c r="E27" s="10">
        <v>282.66601394040083</v>
      </c>
      <c r="F27" s="10">
        <v>268.16814936415091</v>
      </c>
      <c r="G27" s="10">
        <v>241.40009824930681</v>
      </c>
      <c r="H27" s="10">
        <v>239.53133010157811</v>
      </c>
      <c r="I27" s="59"/>
      <c r="J27" s="59"/>
      <c r="K27" s="59"/>
      <c r="L27" s="59"/>
    </row>
    <row r="28" spans="1:15" x14ac:dyDescent="0.3">
      <c r="A28" s="104"/>
      <c r="C28" s="108"/>
      <c r="D28" s="5" t="s">
        <v>27</v>
      </c>
      <c r="E28" s="6">
        <v>244.79047388338071</v>
      </c>
      <c r="F28" s="6">
        <v>222.69349999999997</v>
      </c>
      <c r="G28" s="6">
        <v>189.89150000000001</v>
      </c>
      <c r="H28" s="6">
        <v>187.5685</v>
      </c>
      <c r="I28" s="59"/>
      <c r="J28" s="59"/>
      <c r="K28" s="59"/>
      <c r="L28" s="59"/>
    </row>
    <row r="29" spans="1:15" x14ac:dyDescent="0.3">
      <c r="A29" s="104"/>
      <c r="C29" s="108"/>
      <c r="D29" s="7" t="s">
        <v>28</v>
      </c>
      <c r="E29" s="10">
        <v>201.97935787923416</v>
      </c>
      <c r="F29" s="10">
        <v>185.16660000000002</v>
      </c>
      <c r="G29" s="10">
        <v>155.5438</v>
      </c>
      <c r="H29" s="10">
        <v>154.96459999999999</v>
      </c>
      <c r="I29" s="59"/>
      <c r="J29" s="59"/>
      <c r="K29" s="59"/>
      <c r="L29" s="59"/>
    </row>
    <row r="30" spans="1:15" x14ac:dyDescent="0.3">
      <c r="A30" s="104"/>
      <c r="C30" s="59"/>
      <c r="D30" s="62"/>
      <c r="E30" s="63"/>
      <c r="F30" s="63"/>
      <c r="G30" s="63"/>
      <c r="H30" s="63"/>
      <c r="I30" s="59"/>
      <c r="J30" s="59"/>
      <c r="K30" s="59"/>
      <c r="L30" s="59"/>
    </row>
    <row r="31" spans="1:15" x14ac:dyDescent="0.3">
      <c r="A31" s="104"/>
      <c r="C31" s="59"/>
      <c r="D31" s="60"/>
      <c r="E31" s="59"/>
      <c r="F31" s="59"/>
      <c r="G31" s="59"/>
      <c r="H31" s="59"/>
      <c r="I31" s="59"/>
      <c r="J31" s="59"/>
      <c r="K31" s="59"/>
      <c r="L31" s="59"/>
    </row>
    <row r="32" spans="1:15" ht="18" x14ac:dyDescent="0.35">
      <c r="A32" s="104"/>
      <c r="C32" s="81" t="str">
        <f>D6</f>
        <v>Tous flux - Évolution du coût aidé HT</v>
      </c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</row>
    <row r="33" spans="1:13" x14ac:dyDescent="0.3">
      <c r="A33" s="104"/>
      <c r="C33" s="106" t="s">
        <v>35</v>
      </c>
      <c r="D33" s="106"/>
      <c r="E33" s="59"/>
      <c r="F33" s="59"/>
      <c r="G33" s="59"/>
      <c r="H33" s="59"/>
      <c r="I33" s="59"/>
      <c r="J33" s="59"/>
      <c r="K33" s="59"/>
      <c r="L33" s="59"/>
    </row>
    <row r="34" spans="1:13" x14ac:dyDescent="0.3">
      <c r="A34" s="104"/>
      <c r="C34" s="59"/>
      <c r="D34" s="59"/>
      <c r="E34" s="2">
        <v>2010</v>
      </c>
      <c r="F34" s="2">
        <v>2012</v>
      </c>
      <c r="G34" s="2">
        <v>2014</v>
      </c>
      <c r="H34" s="2">
        <v>2016</v>
      </c>
      <c r="I34" s="2">
        <v>2018</v>
      </c>
      <c r="J34" s="2">
        <v>2019</v>
      </c>
      <c r="K34" s="2">
        <v>2020</v>
      </c>
      <c r="L34" s="2">
        <v>2022</v>
      </c>
      <c r="M34" s="2">
        <v>2023</v>
      </c>
    </row>
    <row r="35" spans="1:13" x14ac:dyDescent="0.3">
      <c r="A35" s="104"/>
      <c r="D35" s="3" t="s">
        <v>41</v>
      </c>
      <c r="E35" s="4">
        <v>177</v>
      </c>
      <c r="F35" s="4">
        <v>358</v>
      </c>
      <c r="G35" s="4">
        <v>382</v>
      </c>
      <c r="H35" s="4">
        <v>351</v>
      </c>
      <c r="I35" s="4">
        <v>422</v>
      </c>
      <c r="J35" s="4">
        <v>597</v>
      </c>
      <c r="K35" s="4">
        <v>463</v>
      </c>
      <c r="L35" s="4">
        <v>648</v>
      </c>
      <c r="M35" s="4">
        <v>597</v>
      </c>
    </row>
    <row r="36" spans="1:13" x14ac:dyDescent="0.3">
      <c r="A36" s="104"/>
      <c r="C36" s="59"/>
      <c r="D36" s="60"/>
      <c r="E36" s="59"/>
      <c r="F36" s="59"/>
      <c r="G36" s="59"/>
      <c r="H36" s="59"/>
      <c r="I36" s="59"/>
      <c r="J36" s="59"/>
      <c r="K36" s="59"/>
      <c r="L36" s="59"/>
      <c r="M36" s="59"/>
    </row>
    <row r="37" spans="1:13" x14ac:dyDescent="0.3">
      <c r="A37" s="104"/>
      <c r="C37" s="59"/>
      <c r="D37" s="59"/>
      <c r="E37" s="2">
        <v>2010</v>
      </c>
      <c r="F37" s="2">
        <v>2012</v>
      </c>
      <c r="G37" s="2">
        <v>2014</v>
      </c>
      <c r="H37" s="2">
        <v>2016</v>
      </c>
      <c r="I37" s="2">
        <v>2018</v>
      </c>
      <c r="J37" s="2">
        <v>2019</v>
      </c>
      <c r="K37" s="2">
        <v>2020</v>
      </c>
      <c r="L37" s="2">
        <v>2022</v>
      </c>
      <c r="M37" s="2">
        <v>2023</v>
      </c>
    </row>
    <row r="38" spans="1:13" x14ac:dyDescent="0.3">
      <c r="A38" s="104"/>
      <c r="C38" s="107" t="s">
        <v>39</v>
      </c>
      <c r="D38" s="16" t="s">
        <v>23</v>
      </c>
      <c r="E38" s="28">
        <v>107.40474</v>
      </c>
      <c r="F38" s="28">
        <v>110.20652</v>
      </c>
      <c r="G38" s="28">
        <v>115.78590000000001</v>
      </c>
      <c r="H38" s="28">
        <v>122.3</v>
      </c>
      <c r="I38" s="28">
        <v>128.75655999999998</v>
      </c>
      <c r="J38" s="28">
        <v>140.38749999999999</v>
      </c>
      <c r="K38" s="28">
        <v>140.61432000000002</v>
      </c>
      <c r="L38" s="28">
        <v>163.39450000000002</v>
      </c>
      <c r="M38" s="28">
        <v>177.57040000000003</v>
      </c>
    </row>
    <row r="39" spans="1:13" x14ac:dyDescent="0.3">
      <c r="A39" s="104"/>
      <c r="C39" s="107"/>
      <c r="D39" s="17" t="s">
        <v>24</v>
      </c>
      <c r="E39" s="33">
        <v>93.0869</v>
      </c>
      <c r="F39" s="33">
        <v>96.449699999999993</v>
      </c>
      <c r="G39" s="33">
        <v>96.435625000000002</v>
      </c>
      <c r="H39" s="33">
        <v>101.7</v>
      </c>
      <c r="I39" s="33">
        <v>105.489925</v>
      </c>
      <c r="J39" s="33">
        <v>114.1687</v>
      </c>
      <c r="K39" s="33">
        <v>114.0535</v>
      </c>
      <c r="L39" s="33">
        <v>129.84125</v>
      </c>
      <c r="M39" s="33">
        <v>139.37299999999999</v>
      </c>
    </row>
    <row r="40" spans="1:13" ht="19.95" customHeight="1" x14ac:dyDescent="0.3">
      <c r="A40" s="104"/>
      <c r="C40" s="107"/>
      <c r="D40" s="31" t="s">
        <v>25</v>
      </c>
      <c r="E40" s="28">
        <v>85.240491645021478</v>
      </c>
      <c r="F40" s="28">
        <v>88.926494877048555</v>
      </c>
      <c r="G40" s="28">
        <v>93.09320429122829</v>
      </c>
      <c r="H40" s="28">
        <v>92.5</v>
      </c>
      <c r="I40" s="28">
        <v>98.011756891507034</v>
      </c>
      <c r="J40" s="28">
        <v>105.28099831116627</v>
      </c>
      <c r="K40" s="28">
        <v>108.62809072686376</v>
      </c>
      <c r="L40" s="28">
        <v>116.09271041887084</v>
      </c>
      <c r="M40" s="28">
        <v>126.86157664376694</v>
      </c>
    </row>
    <row r="41" spans="1:13" x14ac:dyDescent="0.3">
      <c r="A41" s="104"/>
      <c r="C41" s="107"/>
      <c r="D41" s="17" t="s">
        <v>27</v>
      </c>
      <c r="E41" s="33">
        <v>65.295199999999994</v>
      </c>
      <c r="F41" s="33">
        <v>66.94605</v>
      </c>
      <c r="G41" s="33">
        <v>70.969250000000002</v>
      </c>
      <c r="H41" s="33">
        <v>72.400000000000006</v>
      </c>
      <c r="I41" s="33">
        <v>75.088875000000002</v>
      </c>
      <c r="J41" s="33">
        <v>80.199600000000004</v>
      </c>
      <c r="K41" s="33">
        <v>82.681399999999996</v>
      </c>
      <c r="L41" s="33">
        <v>90.314499999999995</v>
      </c>
      <c r="M41" s="33">
        <v>99.032000000000011</v>
      </c>
    </row>
    <row r="42" spans="1:13" x14ac:dyDescent="0.3">
      <c r="A42" s="104"/>
      <c r="C42" s="107"/>
      <c r="D42" s="16" t="s">
        <v>28</v>
      </c>
      <c r="E42" s="34">
        <v>58.749420000000001</v>
      </c>
      <c r="F42" s="34">
        <v>56.699590000000001</v>
      </c>
      <c r="G42" s="34">
        <v>61.212449999999997</v>
      </c>
      <c r="H42" s="34">
        <v>62.3</v>
      </c>
      <c r="I42" s="34">
        <v>63.10098</v>
      </c>
      <c r="J42" s="34">
        <v>68.821700000000007</v>
      </c>
      <c r="K42" s="34">
        <v>71.011740000000003</v>
      </c>
      <c r="L42" s="34">
        <v>78.228099999999998</v>
      </c>
      <c r="M42" s="34">
        <v>86.4298</v>
      </c>
    </row>
    <row r="43" spans="1:13" x14ac:dyDescent="0.3">
      <c r="A43" s="104"/>
      <c r="C43" s="59"/>
      <c r="D43" s="60"/>
      <c r="E43" s="59"/>
      <c r="F43" s="59"/>
      <c r="G43" s="59"/>
      <c r="H43" s="59"/>
      <c r="I43" s="59"/>
      <c r="J43" s="59"/>
      <c r="K43" s="59"/>
      <c r="L43" s="59"/>
      <c r="M43" s="59"/>
    </row>
    <row r="44" spans="1:13" x14ac:dyDescent="0.3">
      <c r="A44" s="104"/>
      <c r="C44" s="59"/>
      <c r="D44" s="59"/>
      <c r="E44" s="2">
        <v>2010</v>
      </c>
      <c r="F44" s="2">
        <v>2012</v>
      </c>
      <c r="G44" s="2">
        <v>2014</v>
      </c>
      <c r="H44" s="2">
        <v>2016</v>
      </c>
      <c r="I44" s="2">
        <v>2018</v>
      </c>
      <c r="J44" s="2">
        <v>2019</v>
      </c>
      <c r="K44" s="2">
        <v>2020</v>
      </c>
      <c r="L44" s="2">
        <v>2022</v>
      </c>
      <c r="M44" s="2">
        <v>2022</v>
      </c>
    </row>
    <row r="45" spans="1:13" x14ac:dyDescent="0.3">
      <c r="A45" s="104"/>
      <c r="C45" s="108" t="s">
        <v>40</v>
      </c>
      <c r="D45" s="5" t="s">
        <v>23</v>
      </c>
      <c r="E45" s="6">
        <v>192.51797999999999</v>
      </c>
      <c r="F45" s="6">
        <v>206.44241</v>
      </c>
      <c r="G45" s="6">
        <v>206.71273000000002</v>
      </c>
      <c r="H45" s="6">
        <v>213.8</v>
      </c>
      <c r="I45" s="6">
        <v>215.40364</v>
      </c>
      <c r="J45" s="6">
        <v>234.77379999999999</v>
      </c>
      <c r="K45" s="6">
        <v>244.96930000000003</v>
      </c>
      <c r="L45" s="6">
        <v>266.93599999999998</v>
      </c>
      <c r="M45" s="6">
        <v>292.02760000000001</v>
      </c>
    </row>
    <row r="46" spans="1:13" x14ac:dyDescent="0.3">
      <c r="A46" s="104"/>
      <c r="C46" s="108"/>
      <c r="D46" s="7" t="s">
        <v>24</v>
      </c>
      <c r="E46" s="10">
        <v>173.04509999999999</v>
      </c>
      <c r="F46" s="10">
        <v>178.70372499999999</v>
      </c>
      <c r="G46" s="10">
        <v>181.05327500000001</v>
      </c>
      <c r="H46" s="10">
        <v>186.3</v>
      </c>
      <c r="I46" s="10">
        <v>190.03354999999999</v>
      </c>
      <c r="J46" s="10">
        <v>202.62909999999999</v>
      </c>
      <c r="K46" s="10">
        <v>209.4247</v>
      </c>
      <c r="L46" s="10">
        <v>236.13074999999998</v>
      </c>
      <c r="M46" s="10">
        <v>260.46400000000006</v>
      </c>
    </row>
    <row r="47" spans="1:13" x14ac:dyDescent="0.3">
      <c r="A47" s="104"/>
      <c r="C47" s="108"/>
      <c r="D47" s="5" t="s">
        <v>25</v>
      </c>
      <c r="E47" s="6">
        <v>161.57208196155329</v>
      </c>
      <c r="F47" s="6">
        <v>165.98320960607884</v>
      </c>
      <c r="G47" s="6">
        <v>174.00230516272489</v>
      </c>
      <c r="H47" s="6">
        <v>173.6</v>
      </c>
      <c r="I47" s="6">
        <v>179.66621101948874</v>
      </c>
      <c r="J47" s="6">
        <v>188.71864399680757</v>
      </c>
      <c r="K47" s="6">
        <v>203.95110522635738</v>
      </c>
      <c r="L47" s="6">
        <v>218.1148158685514</v>
      </c>
      <c r="M47" s="6">
        <v>239.53133010157811</v>
      </c>
    </row>
    <row r="48" spans="1:13" x14ac:dyDescent="0.3">
      <c r="A48" s="104"/>
      <c r="C48" s="108"/>
      <c r="D48" s="7" t="s">
        <v>27</v>
      </c>
      <c r="E48" s="10">
        <v>135.61859999999999</v>
      </c>
      <c r="F48" s="10">
        <v>130.833675</v>
      </c>
      <c r="G48" s="10">
        <v>138.97787499999998</v>
      </c>
      <c r="H48" s="10">
        <v>138.4</v>
      </c>
      <c r="I48" s="10">
        <v>146.534875</v>
      </c>
      <c r="J48" s="10">
        <v>153.99459999999999</v>
      </c>
      <c r="K48" s="10">
        <v>160.7499</v>
      </c>
      <c r="L48" s="10">
        <v>170.74099999999999</v>
      </c>
      <c r="M48" s="10">
        <v>187.5685</v>
      </c>
    </row>
    <row r="49" spans="1:17" x14ac:dyDescent="0.3">
      <c r="A49" s="104"/>
      <c r="C49" s="108"/>
      <c r="D49" s="5" t="s">
        <v>28</v>
      </c>
      <c r="E49" s="6">
        <v>120.71972000000001</v>
      </c>
      <c r="F49" s="6">
        <v>111.524</v>
      </c>
      <c r="G49" s="6">
        <v>120.80776</v>
      </c>
      <c r="H49" s="6">
        <v>122.2</v>
      </c>
      <c r="I49" s="6">
        <v>129.83853999999999</v>
      </c>
      <c r="J49" s="6">
        <v>132.67490000000001</v>
      </c>
      <c r="K49" s="6">
        <v>140.31405999999998</v>
      </c>
      <c r="L49" s="6">
        <v>151.43099999999998</v>
      </c>
      <c r="M49" s="6">
        <v>154.96459999999999</v>
      </c>
    </row>
    <row r="50" spans="1:17" x14ac:dyDescent="0.3">
      <c r="A50" s="104"/>
      <c r="C50" s="59"/>
      <c r="D50" s="60"/>
      <c r="E50" s="59"/>
      <c r="F50" s="59"/>
      <c r="G50" s="59"/>
      <c r="H50" s="59"/>
      <c r="I50" s="59"/>
      <c r="J50" s="59"/>
      <c r="K50" s="59"/>
      <c r="L50" s="59"/>
    </row>
    <row r="51" spans="1:17" x14ac:dyDescent="0.3">
      <c r="A51" s="104"/>
      <c r="C51" s="59"/>
      <c r="D51" s="60"/>
      <c r="E51" s="59"/>
      <c r="F51" s="59"/>
      <c r="G51" s="59"/>
      <c r="H51" s="59"/>
      <c r="I51" s="59"/>
      <c r="J51" s="59"/>
      <c r="K51" s="59"/>
      <c r="L51" s="59"/>
    </row>
    <row r="52" spans="1:17" ht="18" x14ac:dyDescent="0.35">
      <c r="A52" s="104"/>
      <c r="C52" s="81" t="str">
        <f>D7</f>
        <v>Tous flux - Coût aidé HT et typologie d'habitat</v>
      </c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</row>
    <row r="53" spans="1:17" x14ac:dyDescent="0.3">
      <c r="A53" s="104"/>
      <c r="C53" s="106" t="s">
        <v>35</v>
      </c>
      <c r="D53" s="106"/>
      <c r="E53" s="59"/>
      <c r="F53" s="59"/>
      <c r="G53" s="59"/>
      <c r="H53" s="59"/>
      <c r="I53" s="59"/>
      <c r="J53" s="59"/>
      <c r="K53" s="59"/>
      <c r="L53" s="59"/>
    </row>
    <row r="54" spans="1:17" x14ac:dyDescent="0.3">
      <c r="A54" s="104"/>
      <c r="C54" s="59"/>
      <c r="D54" s="59"/>
      <c r="E54" s="2" t="s">
        <v>14</v>
      </c>
      <c r="F54" s="2" t="s">
        <v>15</v>
      </c>
      <c r="G54" s="2" t="s">
        <v>16</v>
      </c>
      <c r="H54" s="2" t="s">
        <v>17</v>
      </c>
      <c r="I54" s="2" t="s">
        <v>18</v>
      </c>
      <c r="K54" s="59"/>
      <c r="L54" s="59"/>
    </row>
    <row r="55" spans="1:17" x14ac:dyDescent="0.3">
      <c r="A55" s="104"/>
      <c r="C55" s="59"/>
      <c r="D55" s="3" t="s">
        <v>36</v>
      </c>
      <c r="E55" s="4">
        <v>215</v>
      </c>
      <c r="F55" s="4">
        <v>191</v>
      </c>
      <c r="G55" s="4">
        <v>67</v>
      </c>
      <c r="H55" s="4">
        <v>62</v>
      </c>
      <c r="I55" s="4">
        <v>62</v>
      </c>
      <c r="J55" s="59"/>
    </row>
    <row r="56" spans="1:17" x14ac:dyDescent="0.3">
      <c r="A56" s="104"/>
      <c r="C56" s="59"/>
      <c r="D56" s="3" t="s">
        <v>37</v>
      </c>
      <c r="E56" s="79">
        <v>5432590</v>
      </c>
      <c r="F56" s="79">
        <v>8799750</v>
      </c>
      <c r="G56" s="79">
        <v>4659666</v>
      </c>
      <c r="H56" s="79">
        <v>15923913</v>
      </c>
      <c r="I56" s="79">
        <v>1606434</v>
      </c>
      <c r="J56" s="59"/>
      <c r="K56" s="59"/>
    </row>
    <row r="57" spans="1:17" x14ac:dyDescent="0.3">
      <c r="A57" s="104"/>
      <c r="C57" s="59"/>
      <c r="D57" s="3" t="s">
        <v>42</v>
      </c>
      <c r="E57" s="77">
        <v>508</v>
      </c>
      <c r="F57" s="77">
        <v>515</v>
      </c>
      <c r="G57" s="77">
        <v>529</v>
      </c>
      <c r="H57" s="77">
        <v>481.5</v>
      </c>
      <c r="I57" s="77">
        <v>699</v>
      </c>
      <c r="J57" s="59"/>
    </row>
    <row r="58" spans="1:17" x14ac:dyDescent="0.3">
      <c r="A58" s="104"/>
      <c r="C58" s="59"/>
      <c r="D58" s="60"/>
      <c r="E58" s="59"/>
      <c r="F58" s="59"/>
      <c r="G58" s="59"/>
      <c r="H58" s="59"/>
      <c r="I58" s="59"/>
      <c r="J58" s="59"/>
      <c r="K58" s="59"/>
      <c r="Q58" s="73"/>
    </row>
    <row r="59" spans="1:17" x14ac:dyDescent="0.3">
      <c r="A59" s="104"/>
      <c r="C59" s="59"/>
      <c r="D59" s="59"/>
      <c r="E59" s="2" t="s">
        <v>14</v>
      </c>
      <c r="F59" s="2" t="s">
        <v>15</v>
      </c>
      <c r="G59" s="2" t="s">
        <v>16</v>
      </c>
      <c r="H59" s="2" t="s">
        <v>17</v>
      </c>
      <c r="I59" s="2" t="s">
        <v>18</v>
      </c>
      <c r="J59" s="59"/>
    </row>
    <row r="60" spans="1:17" x14ac:dyDescent="0.3">
      <c r="A60" s="104"/>
      <c r="C60" s="107" t="s">
        <v>39</v>
      </c>
      <c r="D60" s="17" t="s">
        <v>23</v>
      </c>
      <c r="E60" s="42">
        <v>150.93579999999952</v>
      </c>
      <c r="F60" s="42">
        <v>167.12819999999942</v>
      </c>
      <c r="G60" s="42">
        <v>173.23560000000001</v>
      </c>
      <c r="H60" s="42">
        <v>152.1216000000002</v>
      </c>
      <c r="I60" s="43">
        <v>297.02569999999992</v>
      </c>
      <c r="J60" s="59"/>
    </row>
    <row r="61" spans="1:17" x14ac:dyDescent="0.3">
      <c r="A61" s="104"/>
      <c r="C61" s="107"/>
      <c r="D61" s="16" t="s">
        <v>24</v>
      </c>
      <c r="E61" s="28">
        <v>129.90799999999965</v>
      </c>
      <c r="F61" s="28">
        <v>128.29899999999998</v>
      </c>
      <c r="G61" s="28">
        <v>144.863</v>
      </c>
      <c r="H61" s="28">
        <v>126.47124999999984</v>
      </c>
      <c r="I61" s="44">
        <v>223.10850000000016</v>
      </c>
      <c r="J61" s="59"/>
    </row>
    <row r="62" spans="1:17" ht="18" customHeight="1" x14ac:dyDescent="0.3">
      <c r="A62" s="104"/>
      <c r="C62" s="107"/>
      <c r="D62" s="35" t="s">
        <v>26</v>
      </c>
      <c r="E62" s="42">
        <v>113.03600000000004</v>
      </c>
      <c r="F62" s="42">
        <v>111.64199999999987</v>
      </c>
      <c r="G62" s="42">
        <v>119.0259999999999</v>
      </c>
      <c r="H62" s="42">
        <v>116.8845000000001</v>
      </c>
      <c r="I62" s="45">
        <v>178.1460000000001</v>
      </c>
      <c r="J62" s="59"/>
    </row>
    <row r="63" spans="1:17" x14ac:dyDescent="0.3">
      <c r="A63" s="104"/>
      <c r="C63" s="107"/>
      <c r="D63" s="16" t="s">
        <v>27</v>
      </c>
      <c r="E63" s="28">
        <v>93.433000000000533</v>
      </c>
      <c r="F63" s="28">
        <v>95.531000000000276</v>
      </c>
      <c r="G63" s="28">
        <v>106.20399999999992</v>
      </c>
      <c r="H63" s="28">
        <v>101.40974999999987</v>
      </c>
      <c r="I63" s="44">
        <v>144.00924999999998</v>
      </c>
      <c r="J63" s="59"/>
    </row>
    <row r="64" spans="1:17" x14ac:dyDescent="0.3">
      <c r="A64" s="104"/>
      <c r="C64" s="107"/>
      <c r="D64" s="17" t="s">
        <v>28</v>
      </c>
      <c r="E64" s="42">
        <v>82.9087999999998</v>
      </c>
      <c r="F64" s="42">
        <v>82.484200000000342</v>
      </c>
      <c r="G64" s="42">
        <v>91.572000000000088</v>
      </c>
      <c r="H64" s="42">
        <v>88.515099999999947</v>
      </c>
      <c r="I64" s="43">
        <v>130.42760000000001</v>
      </c>
      <c r="J64" s="59"/>
    </row>
    <row r="65" spans="1:16" x14ac:dyDescent="0.3">
      <c r="A65" s="104"/>
      <c r="C65" s="59"/>
      <c r="D65" s="60"/>
      <c r="E65" s="59"/>
      <c r="F65" s="59"/>
      <c r="G65" s="59"/>
      <c r="H65" s="59"/>
      <c r="I65" s="59"/>
      <c r="J65" s="59"/>
    </row>
    <row r="66" spans="1:16" x14ac:dyDescent="0.3">
      <c r="A66" s="104"/>
      <c r="C66" s="59"/>
      <c r="D66"/>
      <c r="E66" s="2" t="s">
        <v>14</v>
      </c>
      <c r="F66" s="2" t="s">
        <v>15</v>
      </c>
      <c r="G66" s="2" t="s">
        <v>16</v>
      </c>
      <c r="H66" s="2" t="s">
        <v>17</v>
      </c>
      <c r="I66" s="2" t="s">
        <v>18</v>
      </c>
      <c r="J66" s="59"/>
      <c r="P66" s="73"/>
    </row>
    <row r="67" spans="1:16" x14ac:dyDescent="0.3">
      <c r="A67" s="104"/>
      <c r="C67" s="108" t="s">
        <v>40</v>
      </c>
      <c r="D67" s="7" t="s">
        <v>23</v>
      </c>
      <c r="E67" s="23">
        <v>283.31700000000001</v>
      </c>
      <c r="F67" s="23">
        <v>286.06180000000001</v>
      </c>
      <c r="G67" s="23">
        <v>281.96620000000001</v>
      </c>
      <c r="H67" s="23">
        <v>314.27990000000005</v>
      </c>
      <c r="I67" s="24">
        <v>337.12800000000004</v>
      </c>
      <c r="J67" s="59"/>
    </row>
    <row r="68" spans="1:16" x14ac:dyDescent="0.3">
      <c r="A68" s="104"/>
      <c r="C68" s="108"/>
      <c r="D68" s="5" t="s">
        <v>24</v>
      </c>
      <c r="E68" s="6">
        <v>247.011</v>
      </c>
      <c r="F68" s="6">
        <v>253.69900000000001</v>
      </c>
      <c r="G68" s="6">
        <v>253.887</v>
      </c>
      <c r="H68" s="6">
        <v>269.79174999999998</v>
      </c>
      <c r="I68" s="14">
        <v>287.33225000000004</v>
      </c>
      <c r="J68" s="59"/>
    </row>
    <row r="69" spans="1:16" x14ac:dyDescent="0.3">
      <c r="A69" s="104"/>
      <c r="C69" s="108"/>
      <c r="D69" s="7" t="s">
        <v>26</v>
      </c>
      <c r="E69" s="23">
        <v>214.81</v>
      </c>
      <c r="F69" s="23">
        <v>213.79499999999999</v>
      </c>
      <c r="G69" s="23">
        <v>224.44</v>
      </c>
      <c r="H69" s="23">
        <v>239.81950000000001</v>
      </c>
      <c r="I69" s="24">
        <v>240.21949999999998</v>
      </c>
      <c r="J69" s="59"/>
    </row>
    <row r="70" spans="1:16" x14ac:dyDescent="0.3">
      <c r="A70" s="104"/>
      <c r="C70" s="108"/>
      <c r="D70" s="5" t="s">
        <v>27</v>
      </c>
      <c r="E70" s="6">
        <v>185.90199999999999</v>
      </c>
      <c r="F70" s="6">
        <v>178.85</v>
      </c>
      <c r="G70" s="6">
        <v>193.95</v>
      </c>
      <c r="H70" s="6">
        <v>203.78650000000002</v>
      </c>
      <c r="I70" s="14">
        <v>190.12950000000001</v>
      </c>
      <c r="J70" s="59"/>
    </row>
    <row r="71" spans="1:16" x14ac:dyDescent="0.3">
      <c r="A71" s="104"/>
      <c r="C71" s="108"/>
      <c r="D71" s="7" t="s">
        <v>28</v>
      </c>
      <c r="E71" s="23">
        <v>144.47380000000001</v>
      </c>
      <c r="F71" s="23">
        <v>156.2902</v>
      </c>
      <c r="G71" s="23">
        <v>162.16140000000001</v>
      </c>
      <c r="H71" s="23">
        <v>185.97069999999999</v>
      </c>
      <c r="I71" s="24">
        <v>122.97540000000001</v>
      </c>
      <c r="J71" s="59"/>
    </row>
    <row r="72" spans="1:16" x14ac:dyDescent="0.3">
      <c r="A72" s="104"/>
      <c r="C72" s="59"/>
      <c r="D72" s="60"/>
      <c r="E72" s="59"/>
      <c r="F72" s="59"/>
      <c r="G72" s="59"/>
      <c r="H72" s="59"/>
      <c r="I72" s="59"/>
      <c r="J72" s="59"/>
      <c r="K72" s="59"/>
      <c r="L72" s="59"/>
    </row>
    <row r="73" spans="1:16" x14ac:dyDescent="0.3">
      <c r="A73" s="1"/>
    </row>
    <row r="74" spans="1:16" ht="18" x14ac:dyDescent="0.35">
      <c r="A74" s="104"/>
      <c r="C74" s="81" t="str">
        <f>D8</f>
        <v>Tous flux - Taux de couverture du coût aidé TTC par le financement</v>
      </c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</row>
    <row r="75" spans="1:16" x14ac:dyDescent="0.3">
      <c r="A75" s="104"/>
      <c r="C75" s="106" t="s">
        <v>35</v>
      </c>
      <c r="D75" s="106"/>
      <c r="E75" s="59"/>
      <c r="F75" s="59"/>
      <c r="G75" s="59"/>
      <c r="H75" s="59"/>
      <c r="I75" s="59"/>
      <c r="J75" s="59"/>
      <c r="K75" s="59"/>
      <c r="L75" s="59"/>
    </row>
    <row r="76" spans="1:16" ht="27.6" x14ac:dyDescent="0.3">
      <c r="A76" s="104"/>
      <c r="C76" s="59"/>
      <c r="D76" s="59"/>
      <c r="E76" s="18" t="s">
        <v>47</v>
      </c>
      <c r="F76" s="59"/>
      <c r="G76" s="59"/>
      <c r="H76" s="59"/>
      <c r="I76" s="59"/>
      <c r="J76" s="59"/>
      <c r="K76" s="59"/>
      <c r="L76" s="59"/>
    </row>
    <row r="77" spans="1:16" x14ac:dyDescent="0.3">
      <c r="A77" s="104"/>
      <c r="C77" s="105"/>
      <c r="D77" s="38" t="s">
        <v>43</v>
      </c>
      <c r="E77" s="39">
        <v>1.16418</v>
      </c>
      <c r="F77" s="59"/>
      <c r="G77" s="59"/>
      <c r="H77" s="59"/>
      <c r="I77" s="59"/>
      <c r="J77" s="59"/>
      <c r="K77" s="59"/>
      <c r="L77" s="59"/>
    </row>
    <row r="78" spans="1:16" x14ac:dyDescent="0.3">
      <c r="A78" s="104"/>
      <c r="C78" s="105"/>
      <c r="D78" s="40" t="s">
        <v>44</v>
      </c>
      <c r="E78" s="41">
        <v>1.0968</v>
      </c>
      <c r="F78" s="59"/>
      <c r="G78" s="59"/>
      <c r="H78" s="59"/>
      <c r="I78" s="59"/>
      <c r="J78" s="59"/>
      <c r="K78" s="59"/>
      <c r="L78" s="59"/>
    </row>
    <row r="79" spans="1:16" x14ac:dyDescent="0.3">
      <c r="A79" s="104"/>
      <c r="C79" s="105"/>
      <c r="D79" s="38" t="s">
        <v>26</v>
      </c>
      <c r="E79" s="39">
        <v>1.0215000000000001</v>
      </c>
      <c r="F79" s="59"/>
      <c r="G79" s="59"/>
      <c r="H79" s="59"/>
      <c r="I79" s="59"/>
      <c r="J79" s="59"/>
      <c r="K79" s="59"/>
      <c r="L79" s="59"/>
    </row>
    <row r="80" spans="1:16" x14ac:dyDescent="0.3">
      <c r="A80" s="104"/>
      <c r="C80" s="105"/>
      <c r="D80" s="40" t="s">
        <v>45</v>
      </c>
      <c r="E80" s="41">
        <v>0.95650000000000002</v>
      </c>
      <c r="F80" s="59"/>
      <c r="G80" s="59"/>
      <c r="H80" s="59"/>
      <c r="I80" s="59"/>
      <c r="J80" s="59"/>
      <c r="K80" s="59"/>
      <c r="L80" s="59"/>
    </row>
    <row r="81" spans="1:12" x14ac:dyDescent="0.3">
      <c r="A81" s="104"/>
      <c r="C81" s="105"/>
      <c r="D81" s="38" t="s">
        <v>46</v>
      </c>
      <c r="E81" s="39">
        <v>0.88170000000000004</v>
      </c>
      <c r="F81" s="59"/>
      <c r="G81" s="59"/>
      <c r="H81" s="59"/>
      <c r="I81" s="59"/>
      <c r="J81" s="59"/>
      <c r="K81" s="59"/>
      <c r="L81" s="59"/>
    </row>
    <row r="82" spans="1:12" x14ac:dyDescent="0.3">
      <c r="A82" s="104"/>
      <c r="C82" s="59"/>
      <c r="D82" s="60"/>
      <c r="E82" s="59"/>
      <c r="F82" s="59"/>
      <c r="G82" s="59"/>
      <c r="H82" s="59"/>
      <c r="I82" s="59"/>
      <c r="J82" s="59"/>
      <c r="K82" s="59"/>
      <c r="L82" s="59"/>
    </row>
    <row r="83" spans="1:12" x14ac:dyDescent="0.3">
      <c r="A83" s="1"/>
      <c r="C83" s="59"/>
      <c r="D83" s="60"/>
      <c r="E83" s="59"/>
      <c r="F83" s="59"/>
      <c r="G83" s="59"/>
      <c r="H83" s="59"/>
      <c r="I83" s="59"/>
      <c r="J83" s="59"/>
      <c r="K83" s="59"/>
      <c r="L83" s="59"/>
    </row>
  </sheetData>
  <sheetProtection sheet="1" formatCells="0" formatColumns="0" insertColumns="0" insertRows="0" insertHyperlinks="0" deleteColumns="0" deleteRows="0" sort="0" autoFilter="0" pivotTables="0"/>
  <mergeCells count="26">
    <mergeCell ref="A10:A31"/>
    <mergeCell ref="C18:C22"/>
    <mergeCell ref="C25:C29"/>
    <mergeCell ref="C11:D11"/>
    <mergeCell ref="C1:O1"/>
    <mergeCell ref="C10:O10"/>
    <mergeCell ref="D8:K8"/>
    <mergeCell ref="D5:K5"/>
    <mergeCell ref="D4:K4"/>
    <mergeCell ref="D2:K2"/>
    <mergeCell ref="D6:K6"/>
    <mergeCell ref="D7:K7"/>
    <mergeCell ref="C33:D33"/>
    <mergeCell ref="C53:D53"/>
    <mergeCell ref="A32:A51"/>
    <mergeCell ref="C38:C42"/>
    <mergeCell ref="C45:C49"/>
    <mergeCell ref="C32:O32"/>
    <mergeCell ref="C52:O52"/>
    <mergeCell ref="A74:A82"/>
    <mergeCell ref="C77:C81"/>
    <mergeCell ref="C74:O74"/>
    <mergeCell ref="C75:D75"/>
    <mergeCell ref="A52:A72"/>
    <mergeCell ref="C60:C64"/>
    <mergeCell ref="C67:C71"/>
  </mergeCells>
  <phoneticPr fontId="13" type="noConversion"/>
  <hyperlinks>
    <hyperlink ref="D2" location="Sommaire!A1" display="Retour sommaire annexe" xr:uid="{00000000-0004-0000-0100-000000000000}"/>
    <hyperlink ref="D5" location="'Tous flux'!A19" display="'Tous flux'!A19" xr:uid="{00000000-0004-0000-0100-000001000000}"/>
    <hyperlink ref="D6" location="'Tous flux'!A51" display="'Tous flux'!A51" xr:uid="{00000000-0004-0000-0100-000002000000}"/>
    <hyperlink ref="D7" location="'Tous flux'!A83" display="'Tous flux'!A83" xr:uid="{00000000-0004-0000-0100-000003000000}"/>
    <hyperlink ref="C11" location="'Tous flux'!A1" display="Retour sommaire fiche" xr:uid="{00000000-0004-0000-0100-000006000000}"/>
    <hyperlink ref="C33" location="'Tous flux'!A1" display="Retour sommaire fiche" xr:uid="{00000000-0004-0000-0100-000007000000}"/>
    <hyperlink ref="C53" location="'Tous flux'!A1" display="Retour sommaire fiche" xr:uid="{00000000-0004-0000-0100-000008000000}"/>
    <hyperlink ref="D8" location="'Tous flux'!A181" display="'Tous flux'!A181" xr:uid="{00000000-0004-0000-0100-000010000000}"/>
    <hyperlink ref="C75" location="'Tous flux'!A1" display="Retour sommaire fiche" xr:uid="{00000000-0004-0000-0100-000012000000}"/>
    <hyperlink ref="D7:G7" location="'Tous flux'!A57" display="Tableau 3 - Coût aidé HT de l’ensemble des flux selon la typologie d'habitat" xr:uid="{9502D1D3-5A4F-447C-9764-BB8D03E51168}"/>
    <hyperlink ref="D6:G6" location="'Tous flux'!A37" display="Tableau 2 - Evolution du coût aidé HT de l’ensemble des flux" xr:uid="{27D7BBDD-6A82-4DB5-A779-F99BA972F315}"/>
    <hyperlink ref="D5:G5" location="'Tous flux'!A15" display="Tableau 1 - Coûts de synthèse pour l’ensemble des flux" xr:uid="{9B15A06A-0666-4B07-ACF7-18E855AA6A6B}"/>
    <hyperlink ref="D8:G8" location="'Tous flux'!A189" display="Tableau 10 - Taux de couverture du coût (aidé TTC) par le financement" xr:uid="{84680790-B51A-4260-848E-743130C93DFD}"/>
    <hyperlink ref="D5:K5" location="'Tous flux'!A10" display="Tous flux - Coûts de synthèse" xr:uid="{1B1E5D7D-EFBA-41A1-B3EE-6342E52B9BF4}"/>
    <hyperlink ref="D6:K6" location="'Tous flux'!A32" display="Tous flux - Évolution du coût aidé HT" xr:uid="{F8BEE230-5369-40C9-87AE-B9BE5B6AF7E6}"/>
    <hyperlink ref="D7:K7" location="'Tous flux'!A52" display="Tous flux - Coût aidé HT et typologie d'habitat" xr:uid="{9A773030-4F0C-4CB3-837B-A1A96C08A370}"/>
    <hyperlink ref="D8:K8" location="'Tous flux'!A74" display="Tous flux - Taux de couverture du coût aidé TTC par le financement" xr:uid="{B06AF746-89CA-475C-B7E4-D596D8BEF0B6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54"/>
  <sheetViews>
    <sheetView showGridLines="0" topLeftCell="C1" zoomScaleNormal="100" workbookViewId="0">
      <selection activeCell="H25" sqref="H25"/>
    </sheetView>
  </sheetViews>
  <sheetFormatPr baseColWidth="10" defaultColWidth="11.44140625" defaultRowHeight="14.4" x14ac:dyDescent="0.3"/>
  <cols>
    <col min="1" max="2" width="11.44140625" hidden="1" customWidth="1"/>
    <col min="3" max="3" width="3.33203125" customWidth="1"/>
    <col min="4" max="4" width="25.33203125" style="1" bestFit="1" customWidth="1"/>
    <col min="5" max="18" width="16.6640625" customWidth="1"/>
  </cols>
  <sheetData>
    <row r="1" spans="1:13" ht="18" x14ac:dyDescent="0.35">
      <c r="C1" s="81" t="s">
        <v>0</v>
      </c>
      <c r="D1" s="81"/>
      <c r="E1" s="81"/>
      <c r="F1" s="81"/>
      <c r="G1" s="81"/>
      <c r="H1" s="81"/>
      <c r="I1" s="81"/>
      <c r="J1" s="81"/>
      <c r="K1" s="81"/>
      <c r="L1" s="81"/>
      <c r="M1" s="81"/>
    </row>
    <row r="2" spans="1:13" x14ac:dyDescent="0.3">
      <c r="C2" s="59"/>
      <c r="D2" s="99" t="s">
        <v>12</v>
      </c>
      <c r="E2" s="99"/>
      <c r="F2" s="99"/>
      <c r="G2" s="99"/>
      <c r="H2" s="99"/>
      <c r="I2" s="99"/>
      <c r="J2" s="99"/>
      <c r="K2" s="99"/>
      <c r="L2" s="11"/>
      <c r="M2" s="59"/>
    </row>
    <row r="3" spans="1:13" x14ac:dyDescent="0.3">
      <c r="C3" s="59"/>
      <c r="D3" s="60"/>
      <c r="E3" s="59"/>
      <c r="F3" s="59"/>
      <c r="G3" s="59"/>
      <c r="L3" s="60"/>
      <c r="M3" s="59"/>
    </row>
    <row r="4" spans="1:13" x14ac:dyDescent="0.3">
      <c r="C4" s="59"/>
      <c r="D4" s="60"/>
      <c r="E4" s="59"/>
      <c r="F4" s="59"/>
      <c r="G4" s="59"/>
      <c r="L4" s="60"/>
      <c r="M4" s="59"/>
    </row>
    <row r="5" spans="1:13" x14ac:dyDescent="0.3">
      <c r="C5" s="59"/>
      <c r="D5" s="99" t="s">
        <v>50</v>
      </c>
      <c r="E5" s="99"/>
      <c r="F5" s="99"/>
      <c r="G5" s="99"/>
      <c r="H5" s="99"/>
      <c r="I5" s="99"/>
      <c r="J5" s="99"/>
      <c r="K5" s="99"/>
      <c r="L5" s="99"/>
      <c r="M5" s="99"/>
    </row>
    <row r="6" spans="1:13" x14ac:dyDescent="0.3">
      <c r="C6" s="59"/>
      <c r="D6" s="99" t="s">
        <v>124</v>
      </c>
      <c r="E6" s="99"/>
      <c r="F6" s="99"/>
      <c r="G6" s="99"/>
      <c r="H6" s="99"/>
      <c r="I6" s="99"/>
      <c r="J6" s="99"/>
      <c r="K6" s="99"/>
      <c r="L6" s="11"/>
      <c r="M6" s="11"/>
    </row>
    <row r="7" spans="1:13" x14ac:dyDescent="0.3">
      <c r="C7" s="59"/>
      <c r="D7" s="99" t="s">
        <v>51</v>
      </c>
      <c r="E7" s="99"/>
      <c r="F7" s="99"/>
      <c r="G7" s="99"/>
      <c r="H7" s="99"/>
      <c r="I7" s="99"/>
      <c r="J7" s="99"/>
      <c r="K7" s="99"/>
      <c r="L7" s="99"/>
      <c r="M7" s="99"/>
    </row>
    <row r="8" spans="1:13" x14ac:dyDescent="0.3">
      <c r="C8" s="59"/>
      <c r="D8" s="99" t="s">
        <v>125</v>
      </c>
      <c r="E8" s="99"/>
      <c r="F8" s="99"/>
      <c r="G8" s="99"/>
      <c r="H8" s="99"/>
      <c r="I8" s="99"/>
      <c r="J8" s="99"/>
      <c r="K8" s="99"/>
      <c r="L8" s="11"/>
      <c r="M8" s="11"/>
    </row>
    <row r="9" spans="1:13" x14ac:dyDescent="0.3">
      <c r="C9" s="59"/>
      <c r="D9" s="99" t="s">
        <v>52</v>
      </c>
      <c r="E9" s="99"/>
      <c r="F9" s="99"/>
      <c r="G9" s="99"/>
      <c r="H9" s="99"/>
      <c r="I9" s="99"/>
      <c r="J9" s="99"/>
      <c r="K9" s="99"/>
      <c r="L9" s="60"/>
      <c r="M9" s="59"/>
    </row>
    <row r="10" spans="1:13" x14ac:dyDescent="0.3">
      <c r="C10" s="59"/>
      <c r="D10" s="99" t="s">
        <v>53</v>
      </c>
      <c r="E10" s="99"/>
      <c r="F10" s="99"/>
      <c r="G10" s="99"/>
      <c r="H10" s="99"/>
      <c r="I10" s="99"/>
      <c r="J10" s="99"/>
      <c r="K10" s="99"/>
      <c r="L10" s="60"/>
      <c r="M10" s="59"/>
    </row>
    <row r="11" spans="1:13" x14ac:dyDescent="0.3">
      <c r="C11" s="59"/>
      <c r="D11" s="99" t="s">
        <v>54</v>
      </c>
      <c r="E11" s="99"/>
      <c r="F11" s="99"/>
      <c r="G11" s="99"/>
      <c r="H11" s="99"/>
      <c r="I11" s="99"/>
      <c r="J11" s="99"/>
      <c r="K11" s="99"/>
      <c r="L11" s="60"/>
      <c r="M11" s="59"/>
    </row>
    <row r="12" spans="1:13" x14ac:dyDescent="0.3">
      <c r="C12" s="59"/>
      <c r="D12" s="60"/>
      <c r="E12" s="59"/>
      <c r="F12" s="59"/>
      <c r="G12" s="59"/>
      <c r="H12" s="59"/>
      <c r="I12" s="59"/>
      <c r="J12" s="59"/>
      <c r="K12" s="59"/>
      <c r="L12" s="59"/>
      <c r="M12" s="59"/>
    </row>
    <row r="13" spans="1:13" ht="18" x14ac:dyDescent="0.35">
      <c r="A13" s="104"/>
      <c r="C13" s="81" t="str">
        <f>D5</f>
        <v>OMR - Coûts de synthèse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</row>
    <row r="14" spans="1:13" x14ac:dyDescent="0.3">
      <c r="A14" s="104"/>
      <c r="C14" s="106" t="s">
        <v>35</v>
      </c>
      <c r="D14" s="106"/>
      <c r="E14" s="59"/>
      <c r="F14" s="59"/>
      <c r="G14" s="59"/>
      <c r="H14" s="59"/>
      <c r="I14" s="59"/>
      <c r="J14" s="59"/>
      <c r="K14" s="59"/>
      <c r="L14" s="59"/>
      <c r="M14" s="59"/>
    </row>
    <row r="15" spans="1:13" x14ac:dyDescent="0.3">
      <c r="A15" s="104"/>
      <c r="C15" s="59"/>
      <c r="D15" s="59"/>
      <c r="E15" s="2" t="s">
        <v>19</v>
      </c>
      <c r="F15" s="2" t="s">
        <v>20</v>
      </c>
      <c r="G15" s="2" t="s">
        <v>21</v>
      </c>
      <c r="H15" s="2" t="s">
        <v>22</v>
      </c>
      <c r="I15" s="59"/>
      <c r="J15" s="59"/>
      <c r="K15" s="59"/>
      <c r="L15" s="59"/>
      <c r="M15" s="59"/>
    </row>
    <row r="16" spans="1:13" x14ac:dyDescent="0.3">
      <c r="A16" s="104"/>
      <c r="C16" s="59"/>
      <c r="D16" s="3" t="s">
        <v>36</v>
      </c>
      <c r="E16" s="4">
        <v>443</v>
      </c>
      <c r="F16" s="4">
        <v>597</v>
      </c>
      <c r="G16" s="4">
        <f>F16</f>
        <v>597</v>
      </c>
      <c r="H16" s="4">
        <f>F16</f>
        <v>597</v>
      </c>
      <c r="I16" s="59"/>
      <c r="J16" s="59"/>
      <c r="K16" s="59"/>
      <c r="L16" s="59"/>
      <c r="M16" s="59"/>
    </row>
    <row r="17" spans="1:13" x14ac:dyDescent="0.3">
      <c r="A17" s="104"/>
      <c r="C17" s="59"/>
      <c r="D17" s="3" t="s">
        <v>37</v>
      </c>
      <c r="E17" s="79">
        <v>23188175</v>
      </c>
      <c r="F17" s="79">
        <v>36422353</v>
      </c>
      <c r="G17" s="79">
        <f>F17</f>
        <v>36422353</v>
      </c>
      <c r="H17" s="79">
        <f>F17</f>
        <v>36422353</v>
      </c>
      <c r="I17" s="59"/>
      <c r="J17" s="59"/>
      <c r="K17" s="59"/>
      <c r="L17" s="59"/>
      <c r="M17" s="59"/>
    </row>
    <row r="18" spans="1:13" x14ac:dyDescent="0.3">
      <c r="A18" s="104"/>
      <c r="C18" s="59"/>
      <c r="D18" s="3" t="s">
        <v>38</v>
      </c>
      <c r="E18" s="71">
        <v>210.4634715540347</v>
      </c>
      <c r="F18" s="71">
        <v>214.99161419163974</v>
      </c>
      <c r="G18" s="71">
        <f>F18</f>
        <v>214.99161419163974</v>
      </c>
      <c r="H18" s="71">
        <f>F18</f>
        <v>214.99161419163974</v>
      </c>
      <c r="I18" s="59"/>
      <c r="J18" s="59"/>
      <c r="K18" s="59"/>
      <c r="L18" s="59"/>
      <c r="M18" s="59"/>
    </row>
    <row r="19" spans="1:13" x14ac:dyDescent="0.3">
      <c r="A19" s="104"/>
      <c r="C19" s="59"/>
      <c r="D19" s="60"/>
      <c r="E19" s="59"/>
      <c r="F19" s="59"/>
      <c r="G19" s="59"/>
      <c r="H19" s="59"/>
      <c r="I19" s="59"/>
      <c r="J19" s="59"/>
      <c r="K19" s="73"/>
      <c r="L19" s="59"/>
      <c r="M19" s="59"/>
    </row>
    <row r="20" spans="1:13" x14ac:dyDescent="0.3">
      <c r="A20" s="104"/>
      <c r="C20" s="59"/>
      <c r="D20" s="59"/>
      <c r="E20" s="2" t="s">
        <v>19</v>
      </c>
      <c r="F20" s="2" t="s">
        <v>20</v>
      </c>
      <c r="G20" s="2" t="s">
        <v>21</v>
      </c>
      <c r="H20" s="2" t="s">
        <v>22</v>
      </c>
      <c r="I20" s="59"/>
      <c r="J20" s="59"/>
      <c r="K20" s="73"/>
      <c r="L20" s="59"/>
      <c r="M20" s="59"/>
    </row>
    <row r="21" spans="1:13" x14ac:dyDescent="0.3">
      <c r="A21" s="104"/>
      <c r="C21" s="107" t="s">
        <v>39</v>
      </c>
      <c r="D21" s="17" t="s">
        <v>23</v>
      </c>
      <c r="E21" s="33">
        <v>99.837633050799909</v>
      </c>
      <c r="F21" s="33">
        <v>95.861200000000011</v>
      </c>
      <c r="G21" s="33">
        <v>95.654600000000002</v>
      </c>
      <c r="H21" s="33">
        <v>93.603999999999999</v>
      </c>
      <c r="I21" s="59"/>
      <c r="J21" s="59"/>
      <c r="K21" s="73"/>
      <c r="L21" s="59"/>
      <c r="M21" s="59"/>
    </row>
    <row r="22" spans="1:13" x14ac:dyDescent="0.3">
      <c r="A22" s="104"/>
      <c r="C22" s="107"/>
      <c r="D22" s="16" t="s">
        <v>24</v>
      </c>
      <c r="E22" s="34">
        <v>76.364999999999995</v>
      </c>
      <c r="F22" s="34">
        <v>72.621000000000009</v>
      </c>
      <c r="G22" s="34">
        <v>72.548000000000002</v>
      </c>
      <c r="H22" s="34">
        <v>71.884500000000003</v>
      </c>
      <c r="I22" s="59"/>
      <c r="J22" s="59"/>
      <c r="K22" s="73"/>
      <c r="L22" s="59"/>
      <c r="M22" s="59"/>
    </row>
    <row r="23" spans="1:13" ht="19.95" customHeight="1" x14ac:dyDescent="0.3">
      <c r="A23" s="104"/>
      <c r="C23" s="107"/>
      <c r="D23" s="35" t="s">
        <v>25</v>
      </c>
      <c r="E23" s="33">
        <v>69.60774034264179</v>
      </c>
      <c r="F23" s="33">
        <v>67.04232327380997</v>
      </c>
      <c r="G23" s="33">
        <v>66.663791603117303</v>
      </c>
      <c r="H23" s="33">
        <v>66.307237987382663</v>
      </c>
      <c r="I23" s="59"/>
      <c r="J23" s="59"/>
      <c r="K23" s="73"/>
      <c r="L23" s="59"/>
      <c r="M23" s="59"/>
    </row>
    <row r="24" spans="1:13" x14ac:dyDescent="0.3">
      <c r="A24" s="104"/>
      <c r="C24" s="107"/>
      <c r="D24" s="16" t="s">
        <v>27</v>
      </c>
      <c r="E24" s="34">
        <v>49.625</v>
      </c>
      <c r="F24" s="34">
        <v>46.548500000000004</v>
      </c>
      <c r="G24" s="34">
        <v>46.182500000000005</v>
      </c>
      <c r="H24" s="34">
        <v>45.746499999999997</v>
      </c>
      <c r="I24" s="59"/>
      <c r="J24" s="59"/>
      <c r="K24" s="73"/>
      <c r="L24" s="59"/>
      <c r="M24" s="59"/>
    </row>
    <row r="25" spans="1:13" x14ac:dyDescent="0.3">
      <c r="A25" s="104"/>
      <c r="C25" s="107"/>
      <c r="D25" s="17" t="s">
        <v>28</v>
      </c>
      <c r="E25" s="33">
        <v>40.690520161373747</v>
      </c>
      <c r="F25" s="33">
        <v>37.64</v>
      </c>
      <c r="G25" s="33">
        <v>37.1282</v>
      </c>
      <c r="H25" s="33">
        <v>36.805800000000005</v>
      </c>
      <c r="I25" s="59"/>
      <c r="J25" s="59"/>
      <c r="K25" s="73"/>
      <c r="L25" s="59"/>
      <c r="M25" s="59"/>
    </row>
    <row r="26" spans="1:13" x14ac:dyDescent="0.3">
      <c r="A26" s="104"/>
      <c r="C26" s="59"/>
      <c r="D26" s="59"/>
      <c r="E26" s="61"/>
      <c r="F26" s="61"/>
      <c r="G26" s="61"/>
      <c r="H26" s="61"/>
      <c r="I26" s="59"/>
      <c r="J26" s="59"/>
      <c r="K26" s="73"/>
      <c r="L26" s="59"/>
      <c r="M26" s="59"/>
    </row>
    <row r="27" spans="1:13" x14ac:dyDescent="0.3">
      <c r="A27" s="104"/>
      <c r="C27" s="59"/>
      <c r="D27" s="59"/>
      <c r="E27" s="2" t="s">
        <v>19</v>
      </c>
      <c r="F27" s="2" t="s">
        <v>20</v>
      </c>
      <c r="G27" s="2" t="s">
        <v>21</v>
      </c>
      <c r="H27" s="2" t="s">
        <v>22</v>
      </c>
      <c r="I27" s="59"/>
      <c r="J27" s="59"/>
      <c r="K27" s="59"/>
      <c r="L27" s="59"/>
      <c r="M27" s="59"/>
    </row>
    <row r="28" spans="1:13" x14ac:dyDescent="0.3">
      <c r="A28" s="104"/>
      <c r="C28" s="108" t="s">
        <v>40</v>
      </c>
      <c r="D28" s="7" t="s">
        <v>23</v>
      </c>
      <c r="E28" s="8">
        <v>446.27520000000004</v>
      </c>
      <c r="F28" s="8">
        <v>425.04480000000001</v>
      </c>
      <c r="G28" s="8">
        <v>423.6450000000001</v>
      </c>
      <c r="H28" s="8">
        <v>418.83920000000006</v>
      </c>
      <c r="I28" s="59"/>
      <c r="J28" s="59"/>
      <c r="K28" s="59"/>
      <c r="L28" s="59"/>
      <c r="M28" s="59"/>
    </row>
    <row r="29" spans="1:13" x14ac:dyDescent="0.3">
      <c r="A29" s="104"/>
      <c r="C29" s="108"/>
      <c r="D29" s="5" t="s">
        <v>24</v>
      </c>
      <c r="E29" s="9">
        <v>391.75900000000001</v>
      </c>
      <c r="F29" s="9">
        <v>377.07399999999996</v>
      </c>
      <c r="G29" s="9">
        <v>375.75749999999999</v>
      </c>
      <c r="H29" s="9">
        <v>372.64699999999999</v>
      </c>
      <c r="I29" s="59"/>
      <c r="J29" s="59"/>
      <c r="K29" s="59"/>
      <c r="L29" s="59"/>
      <c r="M29" s="59"/>
    </row>
    <row r="30" spans="1:13" x14ac:dyDescent="0.3">
      <c r="A30" s="104"/>
      <c r="C30" s="108"/>
      <c r="D30" s="7" t="s">
        <v>25</v>
      </c>
      <c r="E30" s="8">
        <v>332.67729505780665</v>
      </c>
      <c r="F30" s="8">
        <v>311.35309448536935</v>
      </c>
      <c r="G30" s="8">
        <v>309.57521168124555</v>
      </c>
      <c r="H30" s="8">
        <v>307.90601480363057</v>
      </c>
      <c r="I30" s="59"/>
      <c r="J30" s="59"/>
      <c r="K30" s="59"/>
      <c r="L30" s="59"/>
      <c r="M30" s="59"/>
    </row>
    <row r="31" spans="1:13" x14ac:dyDescent="0.3">
      <c r="A31" s="104"/>
      <c r="C31" s="108"/>
      <c r="D31" s="5" t="s">
        <v>27</v>
      </c>
      <c r="E31" s="9">
        <v>307.28800000000001</v>
      </c>
      <c r="F31" s="9">
        <v>278.745</v>
      </c>
      <c r="G31" s="9">
        <v>276.43949999999995</v>
      </c>
      <c r="H31" s="9">
        <v>275.04049999999995</v>
      </c>
      <c r="I31" s="59"/>
      <c r="J31" s="59"/>
      <c r="K31" s="59"/>
      <c r="L31" s="59"/>
      <c r="M31" s="59"/>
    </row>
    <row r="32" spans="1:13" x14ac:dyDescent="0.3">
      <c r="A32" s="104"/>
      <c r="C32" s="108"/>
      <c r="D32" s="7" t="s">
        <v>28</v>
      </c>
      <c r="E32" s="8">
        <v>268.04234607401156</v>
      </c>
      <c r="F32" s="8">
        <v>237.2542</v>
      </c>
      <c r="G32" s="8">
        <v>234.75</v>
      </c>
      <c r="H32" s="8">
        <v>231.50720000000001</v>
      </c>
      <c r="I32" s="59"/>
      <c r="J32" s="59"/>
      <c r="K32" s="59"/>
      <c r="L32" s="59"/>
      <c r="M32" s="59"/>
    </row>
    <row r="33" spans="1:13" x14ac:dyDescent="0.3">
      <c r="A33" s="104"/>
      <c r="C33" s="59"/>
      <c r="D33" s="60"/>
      <c r="E33" s="59"/>
      <c r="F33" s="59"/>
      <c r="G33" s="59"/>
      <c r="H33" s="59"/>
      <c r="I33" s="59"/>
      <c r="J33" s="59"/>
      <c r="K33" s="59"/>
      <c r="L33" s="59"/>
      <c r="M33" s="59"/>
    </row>
    <row r="34" spans="1:13" x14ac:dyDescent="0.3">
      <c r="A34" s="104"/>
      <c r="C34" s="59"/>
      <c r="D34" s="60"/>
      <c r="E34" s="59"/>
      <c r="F34" s="59"/>
      <c r="G34" s="59"/>
      <c r="H34" s="59"/>
      <c r="I34" s="59"/>
      <c r="J34" s="59"/>
      <c r="K34" s="59"/>
      <c r="L34" s="59"/>
      <c r="M34" s="59"/>
    </row>
    <row r="35" spans="1:13" ht="18" x14ac:dyDescent="0.35">
      <c r="A35" s="104"/>
      <c r="C35" s="81" t="str">
        <f>D6</f>
        <v>OMR - Coûts de synthèse pour les collectivités ayant comme mode principal de traitement l’incinération</v>
      </c>
      <c r="D35" s="81"/>
      <c r="E35" s="81"/>
      <c r="F35" s="81"/>
      <c r="G35" s="81"/>
      <c r="H35" s="81"/>
      <c r="I35" s="81"/>
      <c r="J35" s="81"/>
      <c r="K35" s="81"/>
      <c r="L35" s="81"/>
      <c r="M35" s="81"/>
    </row>
    <row r="36" spans="1:13" x14ac:dyDescent="0.3">
      <c r="A36" s="104"/>
      <c r="C36" s="106" t="s">
        <v>35</v>
      </c>
      <c r="D36" s="106"/>
      <c r="E36" s="59"/>
      <c r="F36" s="59"/>
      <c r="G36" s="59"/>
      <c r="H36" s="59"/>
      <c r="I36" s="59"/>
      <c r="J36" s="59"/>
      <c r="K36" s="59"/>
      <c r="L36" s="59"/>
      <c r="M36" s="59"/>
    </row>
    <row r="37" spans="1:13" x14ac:dyDescent="0.3">
      <c r="A37" s="104"/>
      <c r="C37" s="59"/>
      <c r="D37" s="59"/>
      <c r="E37" s="2" t="s">
        <v>19</v>
      </c>
      <c r="F37" s="2" t="s">
        <v>20</v>
      </c>
      <c r="G37" s="2" t="s">
        <v>21</v>
      </c>
      <c r="H37" s="2" t="s">
        <v>22</v>
      </c>
      <c r="I37" s="59"/>
      <c r="J37" s="59"/>
      <c r="K37" s="59"/>
      <c r="L37" s="59"/>
      <c r="M37" s="59"/>
    </row>
    <row r="38" spans="1:13" x14ac:dyDescent="0.3">
      <c r="A38" s="104"/>
      <c r="C38" s="59"/>
      <c r="D38" s="3" t="s">
        <v>36</v>
      </c>
      <c r="E38" s="4">
        <v>204</v>
      </c>
      <c r="F38" s="4">
        <v>204</v>
      </c>
      <c r="G38" s="4">
        <v>204</v>
      </c>
      <c r="H38" s="4">
        <v>204</v>
      </c>
      <c r="I38" s="59"/>
      <c r="J38" s="59"/>
      <c r="K38" s="59"/>
      <c r="L38" s="59"/>
      <c r="M38" s="59"/>
    </row>
    <row r="39" spans="1:13" x14ac:dyDescent="0.3">
      <c r="A39" s="104"/>
      <c r="C39" s="59"/>
      <c r="D39" s="60"/>
      <c r="E39" s="59"/>
      <c r="F39" s="59"/>
      <c r="G39" s="59"/>
      <c r="H39" s="59"/>
      <c r="I39" s="59"/>
      <c r="J39" s="59"/>
      <c r="K39" s="73"/>
      <c r="L39" s="59"/>
      <c r="M39" s="59"/>
    </row>
    <row r="40" spans="1:13" x14ac:dyDescent="0.3">
      <c r="A40" s="104"/>
      <c r="C40" s="59"/>
      <c r="D40" s="59"/>
      <c r="E40" s="2" t="s">
        <v>19</v>
      </c>
      <c r="F40" s="2" t="s">
        <v>20</v>
      </c>
      <c r="G40" s="2" t="s">
        <v>21</v>
      </c>
      <c r="H40" s="2" t="s">
        <v>22</v>
      </c>
      <c r="I40" s="59"/>
      <c r="J40" s="59"/>
      <c r="K40" s="73"/>
      <c r="L40" s="59"/>
      <c r="M40" s="59"/>
    </row>
    <row r="41" spans="1:13" x14ac:dyDescent="0.3">
      <c r="A41" s="104"/>
      <c r="C41" s="107" t="s">
        <v>39</v>
      </c>
      <c r="D41" s="17" t="s">
        <v>23</v>
      </c>
      <c r="E41" s="33">
        <v>90.6</v>
      </c>
      <c r="F41" s="33">
        <v>78.7</v>
      </c>
      <c r="G41" s="33">
        <v>78.099999999999994</v>
      </c>
      <c r="H41" s="33">
        <v>78</v>
      </c>
      <c r="I41" s="59"/>
      <c r="J41" s="59"/>
    </row>
    <row r="42" spans="1:13" x14ac:dyDescent="0.3">
      <c r="A42" s="104"/>
      <c r="C42" s="107"/>
      <c r="D42" s="16" t="s">
        <v>24</v>
      </c>
      <c r="E42" s="34">
        <v>71.2</v>
      </c>
      <c r="F42" s="34">
        <v>62.8</v>
      </c>
      <c r="G42" s="34">
        <v>62.5</v>
      </c>
      <c r="H42" s="34">
        <v>62.1</v>
      </c>
      <c r="I42" s="59"/>
      <c r="J42" s="59"/>
    </row>
    <row r="43" spans="1:13" x14ac:dyDescent="0.3">
      <c r="A43" s="104"/>
      <c r="C43" s="107"/>
      <c r="D43" s="35" t="s">
        <v>26</v>
      </c>
      <c r="E43" s="33">
        <v>59</v>
      </c>
      <c r="F43" s="33">
        <v>51.1</v>
      </c>
      <c r="G43" s="33">
        <v>50.7</v>
      </c>
      <c r="H43" s="33">
        <v>50.6</v>
      </c>
      <c r="I43" s="59"/>
      <c r="J43" s="59"/>
    </row>
    <row r="44" spans="1:13" x14ac:dyDescent="0.3">
      <c r="A44" s="104"/>
      <c r="C44" s="107"/>
      <c r="D44" s="16" t="s">
        <v>27</v>
      </c>
      <c r="E44" s="34">
        <v>47.7</v>
      </c>
      <c r="F44" s="34">
        <v>40.200000000000003</v>
      </c>
      <c r="G44" s="34">
        <v>39.700000000000003</v>
      </c>
      <c r="H44" s="34">
        <v>39.200000000000003</v>
      </c>
      <c r="I44" s="59"/>
      <c r="J44" s="59"/>
    </row>
    <row r="45" spans="1:13" x14ac:dyDescent="0.3">
      <c r="A45" s="104"/>
      <c r="C45" s="107"/>
      <c r="D45" s="17" t="s">
        <v>28</v>
      </c>
      <c r="E45" s="33">
        <v>38.5</v>
      </c>
      <c r="F45" s="33">
        <v>34.200000000000003</v>
      </c>
      <c r="G45" s="33">
        <v>33.6</v>
      </c>
      <c r="H45" s="33">
        <v>33.200000000000003</v>
      </c>
      <c r="I45" s="59"/>
      <c r="J45" s="59"/>
    </row>
    <row r="46" spans="1:13" x14ac:dyDescent="0.3">
      <c r="A46" s="104"/>
      <c r="C46" s="59"/>
      <c r="D46" s="59"/>
      <c r="E46" s="61"/>
      <c r="F46" s="61"/>
      <c r="G46" s="61"/>
      <c r="H46" s="61"/>
      <c r="I46" s="59"/>
      <c r="J46" s="59"/>
      <c r="K46" s="73"/>
      <c r="L46" s="59"/>
      <c r="M46" s="59"/>
    </row>
    <row r="47" spans="1:13" x14ac:dyDescent="0.3">
      <c r="A47" s="104"/>
      <c r="C47" s="59"/>
      <c r="D47" s="59"/>
      <c r="E47" s="2" t="s">
        <v>19</v>
      </c>
      <c r="F47" s="2" t="s">
        <v>20</v>
      </c>
      <c r="G47" s="2" t="s">
        <v>21</v>
      </c>
      <c r="H47" s="2" t="s">
        <v>22</v>
      </c>
      <c r="I47" s="59"/>
    </row>
    <row r="48" spans="1:13" x14ac:dyDescent="0.3">
      <c r="A48" s="104"/>
      <c r="C48" s="108" t="s">
        <v>40</v>
      </c>
      <c r="D48" s="7" t="s">
        <v>23</v>
      </c>
      <c r="E48" s="8">
        <v>443</v>
      </c>
      <c r="F48" s="8">
        <v>400</v>
      </c>
      <c r="G48" s="8">
        <v>397</v>
      </c>
      <c r="H48" s="8">
        <v>395</v>
      </c>
      <c r="I48" s="59"/>
    </row>
    <row r="49" spans="1:14" x14ac:dyDescent="0.3">
      <c r="A49" s="104"/>
      <c r="C49" s="108"/>
      <c r="D49" s="5" t="s">
        <v>24</v>
      </c>
      <c r="E49" s="9">
        <v>393</v>
      </c>
      <c r="F49" s="9">
        <v>352</v>
      </c>
      <c r="G49" s="9">
        <v>349</v>
      </c>
      <c r="H49" s="9">
        <v>349</v>
      </c>
      <c r="I49" s="59"/>
    </row>
    <row r="50" spans="1:14" x14ac:dyDescent="0.3">
      <c r="A50" s="104"/>
      <c r="C50" s="108"/>
      <c r="D50" s="7" t="s">
        <v>25</v>
      </c>
      <c r="E50" s="8">
        <v>338</v>
      </c>
      <c r="F50" s="8">
        <v>295</v>
      </c>
      <c r="G50" s="8">
        <v>293</v>
      </c>
      <c r="H50" s="8">
        <v>290</v>
      </c>
      <c r="I50" s="59"/>
    </row>
    <row r="51" spans="1:14" x14ac:dyDescent="0.3">
      <c r="A51" s="104"/>
      <c r="C51" s="108"/>
      <c r="D51" s="5" t="s">
        <v>27</v>
      </c>
      <c r="E51" s="9">
        <v>299</v>
      </c>
      <c r="F51" s="9">
        <v>254</v>
      </c>
      <c r="G51" s="9">
        <v>252</v>
      </c>
      <c r="H51" s="9">
        <v>249</v>
      </c>
      <c r="I51" s="59"/>
    </row>
    <row r="52" spans="1:14" x14ac:dyDescent="0.3">
      <c r="A52" s="104"/>
      <c r="C52" s="108"/>
      <c r="D52" s="7" t="s">
        <v>28</v>
      </c>
      <c r="E52" s="8">
        <v>265</v>
      </c>
      <c r="F52" s="8">
        <v>221</v>
      </c>
      <c r="G52" s="8">
        <v>219</v>
      </c>
      <c r="H52" s="8">
        <v>219</v>
      </c>
      <c r="I52" s="59"/>
      <c r="J52" s="59"/>
      <c r="K52" s="59"/>
      <c r="L52" s="59"/>
      <c r="M52" s="59"/>
    </row>
    <row r="53" spans="1:14" x14ac:dyDescent="0.3">
      <c r="A53" s="104"/>
      <c r="C53" s="59"/>
      <c r="D53" s="60"/>
      <c r="E53" s="59"/>
      <c r="F53" s="59"/>
      <c r="G53" s="59"/>
      <c r="H53" s="59"/>
      <c r="I53" s="59"/>
      <c r="J53" s="59"/>
      <c r="K53" s="59"/>
      <c r="L53" s="59"/>
      <c r="M53" s="59"/>
    </row>
    <row r="54" spans="1:14" x14ac:dyDescent="0.3">
      <c r="A54" s="104"/>
      <c r="C54" s="59"/>
      <c r="D54" s="60"/>
      <c r="E54" s="59"/>
      <c r="F54" s="59"/>
      <c r="G54" s="59"/>
      <c r="H54" s="59"/>
      <c r="I54" s="59"/>
      <c r="J54" s="59"/>
      <c r="K54" s="59"/>
      <c r="L54" s="59"/>
      <c r="M54" s="59"/>
    </row>
    <row r="55" spans="1:14" ht="18" x14ac:dyDescent="0.35">
      <c r="A55" s="104"/>
      <c r="C55" s="81" t="str">
        <f>D7</f>
        <v>OMR - Charges par étape technique</v>
      </c>
      <c r="D55" s="81"/>
      <c r="E55" s="81"/>
      <c r="F55" s="81"/>
      <c r="G55" s="81"/>
      <c r="H55" s="81"/>
      <c r="I55" s="81"/>
      <c r="J55" s="81"/>
      <c r="K55" s="81"/>
      <c r="L55" s="81"/>
      <c r="M55" s="81"/>
    </row>
    <row r="56" spans="1:14" x14ac:dyDescent="0.3">
      <c r="A56" s="104"/>
      <c r="C56" s="106" t="s">
        <v>35</v>
      </c>
      <c r="D56" s="106"/>
      <c r="E56" s="59"/>
      <c r="F56" s="59"/>
      <c r="G56" s="59"/>
      <c r="H56" s="59"/>
      <c r="I56" s="59"/>
      <c r="J56" s="59"/>
      <c r="K56" s="59"/>
      <c r="L56" s="59"/>
      <c r="M56" s="59"/>
    </row>
    <row r="57" spans="1:14" x14ac:dyDescent="0.3">
      <c r="A57" s="104"/>
      <c r="C57" s="59"/>
      <c r="D57" s="59"/>
      <c r="E57" s="2" t="s">
        <v>55</v>
      </c>
      <c r="F57" s="2" t="s">
        <v>56</v>
      </c>
      <c r="G57" s="2" t="s">
        <v>57</v>
      </c>
      <c r="H57" s="2" t="s">
        <v>58</v>
      </c>
      <c r="I57" s="59"/>
      <c r="J57" s="59"/>
      <c r="K57" s="59"/>
      <c r="L57" s="59"/>
      <c r="M57" s="59"/>
    </row>
    <row r="58" spans="1:14" x14ac:dyDescent="0.3">
      <c r="A58" s="104"/>
      <c r="C58" s="59"/>
      <c r="D58" s="3" t="s">
        <v>36</v>
      </c>
      <c r="E58" s="4">
        <v>694</v>
      </c>
      <c r="F58" s="4">
        <v>708</v>
      </c>
      <c r="G58" s="4">
        <v>441</v>
      </c>
      <c r="H58" s="4">
        <v>409</v>
      </c>
      <c r="I58" s="59"/>
      <c r="J58" s="59"/>
      <c r="K58" s="59"/>
      <c r="L58" s="59"/>
      <c r="M58" s="59"/>
    </row>
    <row r="59" spans="1:14" x14ac:dyDescent="0.3">
      <c r="A59" s="104"/>
      <c r="C59" s="59"/>
      <c r="D59" s="60"/>
      <c r="E59" s="59"/>
      <c r="F59" s="59"/>
      <c r="G59" s="59"/>
      <c r="H59" s="59"/>
      <c r="I59" s="59"/>
      <c r="J59" s="59"/>
      <c r="K59" s="59"/>
      <c r="L59" s="59"/>
      <c r="M59" s="59"/>
    </row>
    <row r="60" spans="1:14" x14ac:dyDescent="0.3">
      <c r="A60" s="104"/>
      <c r="C60" s="59"/>
      <c r="D60" s="59"/>
      <c r="E60" s="2" t="s">
        <v>55</v>
      </c>
      <c r="F60" s="2" t="s">
        <v>56</v>
      </c>
      <c r="G60" s="2" t="s">
        <v>57</v>
      </c>
      <c r="H60" s="2" t="s">
        <v>58</v>
      </c>
      <c r="I60" s="59"/>
      <c r="J60" s="59"/>
      <c r="K60" s="59"/>
      <c r="L60" s="59"/>
      <c r="M60" s="59"/>
    </row>
    <row r="61" spans="1:14" x14ac:dyDescent="0.3">
      <c r="A61" s="104"/>
      <c r="C61" s="107" t="s">
        <v>39</v>
      </c>
      <c r="D61" s="17" t="s">
        <v>23</v>
      </c>
      <c r="E61" s="33">
        <v>5.4009999999999998</v>
      </c>
      <c r="F61" s="33">
        <v>42.164500000000004</v>
      </c>
      <c r="G61" s="33">
        <v>10.207400000000002</v>
      </c>
      <c r="H61" s="33">
        <v>49.21</v>
      </c>
      <c r="I61" s="59"/>
      <c r="J61" s="59"/>
      <c r="K61" s="59"/>
      <c r="L61" s="59"/>
      <c r="M61" s="59"/>
    </row>
    <row r="62" spans="1:14" x14ac:dyDescent="0.3">
      <c r="A62" s="104"/>
      <c r="C62" s="107"/>
      <c r="D62" s="16" t="s">
        <v>24</v>
      </c>
      <c r="E62" s="34">
        <v>3.3875000000000002</v>
      </c>
      <c r="F62" s="34">
        <v>31.454999999999998</v>
      </c>
      <c r="G62" s="34">
        <v>6.9284999999999997</v>
      </c>
      <c r="H62" s="34">
        <v>35.987000000000002</v>
      </c>
      <c r="I62" s="59"/>
      <c r="J62" s="59"/>
      <c r="K62" s="59"/>
      <c r="L62" s="59"/>
      <c r="M62" s="59"/>
    </row>
    <row r="63" spans="1:14" s="25" customFormat="1" ht="17.399999999999999" customHeight="1" x14ac:dyDescent="0.3">
      <c r="A63" s="104"/>
      <c r="C63" s="107"/>
      <c r="D63" s="35" t="s">
        <v>26</v>
      </c>
      <c r="E63" s="36">
        <v>2.0830000000000002</v>
      </c>
      <c r="F63" s="36">
        <v>24.360500000000002</v>
      </c>
      <c r="G63" s="36">
        <v>4.282</v>
      </c>
      <c r="H63" s="36">
        <v>25.725999999999999</v>
      </c>
      <c r="I63" s="64"/>
      <c r="J63" s="59"/>
      <c r="K63" s="59"/>
      <c r="L63" s="59"/>
      <c r="M63" s="59"/>
      <c r="N63"/>
    </row>
    <row r="64" spans="1:14" x14ac:dyDescent="0.3">
      <c r="A64" s="104"/>
      <c r="C64" s="107"/>
      <c r="D64" s="16" t="s">
        <v>27</v>
      </c>
      <c r="E64" s="34">
        <v>1.10375</v>
      </c>
      <c r="F64" s="34">
        <v>18.916499999999999</v>
      </c>
      <c r="G64" s="34">
        <v>2.5449999999999999</v>
      </c>
      <c r="H64" s="34">
        <v>22.414999999999999</v>
      </c>
      <c r="I64" s="59"/>
      <c r="J64" s="59"/>
      <c r="K64" s="59"/>
      <c r="L64" s="59"/>
      <c r="M64" s="59"/>
    </row>
    <row r="65" spans="1:13" x14ac:dyDescent="0.3">
      <c r="A65" s="104"/>
      <c r="C65" s="107"/>
      <c r="D65" s="17" t="s">
        <v>28</v>
      </c>
      <c r="E65" s="33">
        <v>0.53350000000000009</v>
      </c>
      <c r="F65" s="33">
        <v>14.087900000000001</v>
      </c>
      <c r="G65" s="33">
        <v>1.4583999999999999</v>
      </c>
      <c r="H65" s="33">
        <v>18.753</v>
      </c>
      <c r="I65" s="59"/>
      <c r="J65" s="59"/>
      <c r="K65" s="59"/>
      <c r="L65" s="59"/>
      <c r="M65" s="59"/>
    </row>
    <row r="66" spans="1:13" x14ac:dyDescent="0.3">
      <c r="A66" s="104"/>
      <c r="C66" s="59"/>
      <c r="D66" s="60"/>
      <c r="E66" s="59"/>
      <c r="F66" s="59"/>
      <c r="G66" s="59"/>
      <c r="H66" s="59"/>
      <c r="I66" s="59"/>
      <c r="J66" s="59"/>
      <c r="K66" s="59"/>
      <c r="L66" s="59"/>
      <c r="M66" s="59"/>
    </row>
    <row r="67" spans="1:13" x14ac:dyDescent="0.3">
      <c r="A67" s="104"/>
      <c r="C67" s="59"/>
      <c r="D67" s="59"/>
      <c r="E67" s="2" t="s">
        <v>55</v>
      </c>
      <c r="F67" s="2" t="s">
        <v>56</v>
      </c>
      <c r="G67" s="2" t="s">
        <v>57</v>
      </c>
      <c r="H67" s="2" t="s">
        <v>58</v>
      </c>
      <c r="I67" s="59"/>
      <c r="J67" s="59"/>
      <c r="K67" s="59"/>
      <c r="L67" s="59"/>
      <c r="M67" s="59"/>
    </row>
    <row r="68" spans="1:13" x14ac:dyDescent="0.3">
      <c r="A68" s="104"/>
      <c r="C68" s="108" t="s">
        <v>40</v>
      </c>
      <c r="D68" s="7" t="s">
        <v>23</v>
      </c>
      <c r="E68" s="8">
        <v>29.18</v>
      </c>
      <c r="F68" s="8">
        <v>189.61440000000005</v>
      </c>
      <c r="G68" s="8">
        <v>49.782600000000002</v>
      </c>
      <c r="H68" s="8">
        <v>179.376</v>
      </c>
      <c r="I68" s="59"/>
      <c r="J68" s="59"/>
      <c r="K68" s="59"/>
      <c r="L68" s="59"/>
      <c r="M68" s="59"/>
    </row>
    <row r="69" spans="1:13" x14ac:dyDescent="0.3">
      <c r="A69" s="104"/>
      <c r="C69" s="108"/>
      <c r="D69" s="5" t="s">
        <v>24</v>
      </c>
      <c r="E69" s="9">
        <v>18.722999999999999</v>
      </c>
      <c r="F69" s="9">
        <v>158.79874999999998</v>
      </c>
      <c r="G69" s="9">
        <v>37.757999999999996</v>
      </c>
      <c r="H69" s="9">
        <v>163.39249999999998</v>
      </c>
      <c r="I69" s="59"/>
      <c r="J69" s="59"/>
      <c r="K69" s="59"/>
      <c r="L69" s="59"/>
      <c r="M69" s="59"/>
    </row>
    <row r="70" spans="1:13" x14ac:dyDescent="0.3">
      <c r="A70" s="104"/>
      <c r="C70" s="108"/>
      <c r="D70" s="7" t="s">
        <v>26</v>
      </c>
      <c r="E70" s="10">
        <v>10.8065</v>
      </c>
      <c r="F70" s="10">
        <v>131.2765</v>
      </c>
      <c r="G70" s="10">
        <v>23.036999999999999</v>
      </c>
      <c r="H70" s="10">
        <v>135.19999999999999</v>
      </c>
      <c r="I70" s="59"/>
      <c r="J70" s="59"/>
      <c r="K70" s="59"/>
      <c r="L70" s="59"/>
      <c r="M70" s="59"/>
    </row>
    <row r="71" spans="1:13" x14ac:dyDescent="0.3">
      <c r="A71" s="104"/>
      <c r="C71" s="108"/>
      <c r="D71" s="5" t="s">
        <v>27</v>
      </c>
      <c r="E71" s="9">
        <v>5.7757499999999995</v>
      </c>
      <c r="F71" s="9">
        <v>109.07374999999999</v>
      </c>
      <c r="G71" s="9">
        <v>15.3005</v>
      </c>
      <c r="H71" s="9">
        <v>115.47499999999999</v>
      </c>
      <c r="I71" s="59"/>
      <c r="J71" s="59"/>
      <c r="K71" s="59"/>
      <c r="L71" s="59"/>
      <c r="M71" s="59"/>
    </row>
    <row r="72" spans="1:13" x14ac:dyDescent="0.3">
      <c r="A72" s="104"/>
      <c r="C72" s="108"/>
      <c r="D72" s="7" t="s">
        <v>28</v>
      </c>
      <c r="E72" s="8">
        <v>2.8635000000000002</v>
      </c>
      <c r="F72" s="8">
        <v>90.194699999999997</v>
      </c>
      <c r="G72" s="8">
        <v>7.4402000000000008</v>
      </c>
      <c r="H72" s="8">
        <v>105.15600000000001</v>
      </c>
      <c r="I72" s="59"/>
      <c r="J72" s="59"/>
      <c r="K72" s="59"/>
      <c r="L72" s="59"/>
      <c r="M72" s="59"/>
    </row>
    <row r="73" spans="1:13" x14ac:dyDescent="0.3">
      <c r="A73" s="104"/>
      <c r="C73" s="59"/>
      <c r="D73" s="60"/>
      <c r="E73" s="59"/>
      <c r="F73" s="59"/>
      <c r="G73" s="59"/>
      <c r="H73" s="59"/>
      <c r="I73" s="59"/>
      <c r="J73" s="59"/>
      <c r="K73" s="59"/>
      <c r="L73" s="59"/>
      <c r="M73" s="59"/>
    </row>
    <row r="74" spans="1:13" x14ac:dyDescent="0.3">
      <c r="A74" s="104"/>
      <c r="C74" s="59"/>
      <c r="D74" s="60"/>
      <c r="E74" s="59"/>
      <c r="F74" s="59"/>
      <c r="G74" s="59"/>
      <c r="H74" s="59"/>
      <c r="I74" s="59"/>
      <c r="J74" s="59"/>
      <c r="K74" s="59"/>
      <c r="L74" s="59"/>
      <c r="M74" s="59"/>
    </row>
    <row r="75" spans="1:13" ht="18" x14ac:dyDescent="0.35">
      <c r="A75" s="104"/>
      <c r="C75" s="81" t="str">
        <f>D8</f>
        <v>OMR - Charges de traitement selon le mode de traitement</v>
      </c>
      <c r="D75" s="81"/>
      <c r="E75" s="81"/>
      <c r="F75" s="81"/>
      <c r="G75" s="81"/>
      <c r="H75" s="81"/>
      <c r="I75" s="81"/>
      <c r="J75" s="81"/>
      <c r="K75" s="81"/>
      <c r="L75" s="81"/>
      <c r="M75" s="81"/>
    </row>
    <row r="76" spans="1:13" x14ac:dyDescent="0.3">
      <c r="A76" s="104"/>
      <c r="C76" s="106" t="s">
        <v>35</v>
      </c>
      <c r="D76" s="106"/>
      <c r="E76" s="59"/>
      <c r="F76" s="59"/>
      <c r="G76" s="59"/>
      <c r="H76" s="59"/>
      <c r="I76" s="59"/>
      <c r="J76" s="59"/>
      <c r="K76" s="59"/>
      <c r="L76" s="59"/>
      <c r="M76" s="59"/>
    </row>
    <row r="77" spans="1:13" x14ac:dyDescent="0.3">
      <c r="A77" s="104"/>
      <c r="C77" s="59"/>
      <c r="D77" s="59"/>
      <c r="E77" s="2" t="s">
        <v>126</v>
      </c>
      <c r="F77" s="2" t="s">
        <v>127</v>
      </c>
      <c r="G77" s="2" t="s">
        <v>128</v>
      </c>
      <c r="H77" s="59"/>
      <c r="I77" s="59"/>
      <c r="J77" s="59"/>
      <c r="K77" s="59"/>
      <c r="L77" s="59"/>
      <c r="M77" s="59"/>
    </row>
    <row r="78" spans="1:13" x14ac:dyDescent="0.3">
      <c r="A78" s="104"/>
      <c r="C78" s="59"/>
      <c r="D78" s="3" t="s">
        <v>36</v>
      </c>
      <c r="E78" s="4">
        <v>306</v>
      </c>
      <c r="F78" s="4">
        <v>197</v>
      </c>
      <c r="G78" s="4">
        <v>44</v>
      </c>
      <c r="H78" s="59"/>
      <c r="I78" s="59"/>
      <c r="J78" s="59"/>
      <c r="K78" s="59"/>
      <c r="L78" s="59"/>
      <c r="M78" s="59"/>
    </row>
    <row r="79" spans="1:13" x14ac:dyDescent="0.3">
      <c r="A79" s="104"/>
      <c r="C79" s="59"/>
      <c r="D79" s="60"/>
      <c r="E79" s="59"/>
      <c r="F79" s="59"/>
      <c r="G79" s="59"/>
      <c r="H79" s="59"/>
      <c r="I79" s="59"/>
      <c r="J79" s="59"/>
      <c r="K79" s="59"/>
      <c r="L79" s="59"/>
      <c r="M79" s="59"/>
    </row>
    <row r="80" spans="1:13" ht="33" customHeight="1" x14ac:dyDescent="0.3">
      <c r="A80" s="104"/>
      <c r="C80" s="59"/>
      <c r="D80" s="59"/>
      <c r="E80" s="2" t="s">
        <v>66</v>
      </c>
      <c r="F80" s="2" t="s">
        <v>65</v>
      </c>
      <c r="G80" s="2" t="s">
        <v>129</v>
      </c>
      <c r="H80" s="59"/>
      <c r="I80" s="59"/>
      <c r="J80" s="59"/>
      <c r="K80" s="59"/>
      <c r="L80" s="59"/>
      <c r="M80" s="59"/>
    </row>
    <row r="81" spans="1:13" x14ac:dyDescent="0.3">
      <c r="A81" s="104"/>
      <c r="C81" s="108" t="s">
        <v>40</v>
      </c>
      <c r="D81" s="7" t="s">
        <v>23</v>
      </c>
      <c r="E81" s="8">
        <v>155.0061</v>
      </c>
      <c r="F81" s="8">
        <v>190.90700000000001</v>
      </c>
      <c r="G81" s="8">
        <v>212.34399999999999</v>
      </c>
      <c r="H81" s="59"/>
      <c r="I81" s="59"/>
      <c r="J81" s="59"/>
      <c r="K81" s="59"/>
      <c r="L81" s="59"/>
      <c r="M81" s="59"/>
    </row>
    <row r="82" spans="1:13" x14ac:dyDescent="0.3">
      <c r="A82" s="104"/>
      <c r="C82" s="108"/>
      <c r="D82" s="5" t="s">
        <v>24</v>
      </c>
      <c r="E82" s="9">
        <v>127.14250000000001</v>
      </c>
      <c r="F82" s="9">
        <v>159.12200000000001</v>
      </c>
      <c r="G82" s="9">
        <v>202.066</v>
      </c>
      <c r="H82" s="59"/>
      <c r="I82" s="59"/>
      <c r="J82" s="59"/>
      <c r="K82" s="59"/>
      <c r="L82" s="59"/>
      <c r="M82" s="59"/>
    </row>
    <row r="83" spans="1:13" x14ac:dyDescent="0.3">
      <c r="A83" s="104"/>
      <c r="C83" s="108"/>
      <c r="D83" s="7" t="s">
        <v>26</v>
      </c>
      <c r="E83" s="10">
        <v>107.49950000000001</v>
      </c>
      <c r="F83" s="10">
        <v>137.52799999999999</v>
      </c>
      <c r="G83" s="10">
        <v>155.6035</v>
      </c>
      <c r="H83" s="59"/>
      <c r="I83" s="59"/>
      <c r="J83" s="59"/>
      <c r="K83" s="59"/>
      <c r="L83" s="59"/>
      <c r="M83" s="59"/>
    </row>
    <row r="84" spans="1:13" x14ac:dyDescent="0.3">
      <c r="A84" s="104"/>
      <c r="C84" s="108"/>
      <c r="D84" s="5" t="s">
        <v>27</v>
      </c>
      <c r="E84" s="9">
        <v>82.042000000000002</v>
      </c>
      <c r="F84" s="9">
        <v>117.9855</v>
      </c>
      <c r="G84" s="9">
        <v>146.19200000000001</v>
      </c>
      <c r="H84" s="59"/>
      <c r="I84" s="59"/>
      <c r="J84" s="59"/>
      <c r="K84" s="59"/>
      <c r="L84" s="59"/>
      <c r="M84" s="59"/>
    </row>
    <row r="85" spans="1:13" x14ac:dyDescent="0.3">
      <c r="A85" s="104"/>
      <c r="C85" s="108"/>
      <c r="D85" s="7" t="s">
        <v>28</v>
      </c>
      <c r="E85" s="8">
        <v>58.83</v>
      </c>
      <c r="F85" s="8">
        <v>105.01600000000001</v>
      </c>
      <c r="G85" s="8">
        <v>143.51150000000001</v>
      </c>
      <c r="H85" s="59"/>
      <c r="I85" s="59"/>
      <c r="J85" s="59"/>
      <c r="K85" s="59"/>
      <c r="L85" s="59"/>
      <c r="M85" s="59"/>
    </row>
    <row r="86" spans="1:13" x14ac:dyDescent="0.3">
      <c r="A86" s="104"/>
      <c r="C86" s="59"/>
      <c r="D86" s="60"/>
      <c r="E86" s="59"/>
      <c r="F86" s="59"/>
      <c r="G86" s="59"/>
      <c r="H86" s="59"/>
      <c r="I86" s="59"/>
      <c r="J86" s="59"/>
      <c r="K86" s="59"/>
      <c r="L86" s="59"/>
      <c r="M86" s="59"/>
    </row>
    <row r="87" spans="1:13" x14ac:dyDescent="0.3">
      <c r="A87" s="104"/>
      <c r="C87" s="59"/>
      <c r="D87" s="60"/>
      <c r="E87" s="59"/>
      <c r="F87" s="59"/>
      <c r="G87" s="59"/>
      <c r="H87" s="59"/>
      <c r="I87" s="59"/>
      <c r="J87" s="59"/>
      <c r="K87" s="59"/>
      <c r="L87" s="59"/>
      <c r="M87" s="59"/>
    </row>
    <row r="88" spans="1:13" ht="18" x14ac:dyDescent="0.35">
      <c r="A88" s="104"/>
      <c r="C88" s="81" t="str">
        <f>D9</f>
        <v>OMR - Produits par nature</v>
      </c>
      <c r="D88" s="81"/>
      <c r="E88" s="81"/>
      <c r="F88" s="81"/>
      <c r="G88" s="81"/>
      <c r="H88" s="81"/>
      <c r="I88" s="81"/>
      <c r="J88" s="81"/>
      <c r="K88" s="81"/>
      <c r="L88" s="81"/>
      <c r="M88" s="81"/>
    </row>
    <row r="89" spans="1:13" x14ac:dyDescent="0.3">
      <c r="A89" s="104"/>
      <c r="C89" s="106" t="s">
        <v>35</v>
      </c>
      <c r="D89" s="106"/>
      <c r="E89" s="59"/>
      <c r="F89" s="59"/>
      <c r="G89" s="59"/>
      <c r="H89" s="59"/>
      <c r="I89" s="59"/>
      <c r="J89" s="59"/>
      <c r="K89" s="59"/>
      <c r="L89" s="59"/>
      <c r="M89" s="59"/>
    </row>
    <row r="90" spans="1:13" x14ac:dyDescent="0.3">
      <c r="A90" s="104"/>
      <c r="C90" s="59"/>
      <c r="D90" s="59"/>
      <c r="E90" s="110" t="s">
        <v>59</v>
      </c>
      <c r="F90" s="112"/>
      <c r="G90" s="110" t="s">
        <v>60</v>
      </c>
      <c r="H90" s="112"/>
      <c r="I90" s="110" t="s">
        <v>61</v>
      </c>
      <c r="J90" s="111"/>
    </row>
    <row r="91" spans="1:13" x14ac:dyDescent="0.3">
      <c r="A91" s="104"/>
      <c r="C91" s="59"/>
      <c r="D91" s="59"/>
      <c r="E91" s="18" t="s">
        <v>13</v>
      </c>
      <c r="F91" s="18" t="s">
        <v>62</v>
      </c>
      <c r="G91" s="18" t="s">
        <v>13</v>
      </c>
      <c r="H91" s="18" t="s">
        <v>62</v>
      </c>
      <c r="I91" s="18" t="s">
        <v>13</v>
      </c>
      <c r="J91" s="18" t="s">
        <v>62</v>
      </c>
    </row>
    <row r="92" spans="1:13" x14ac:dyDescent="0.3">
      <c r="A92" s="104"/>
      <c r="C92" s="59"/>
      <c r="D92" s="3" t="s">
        <v>36</v>
      </c>
      <c r="E92" s="4">
        <v>277</v>
      </c>
      <c r="F92" s="4">
        <v>42</v>
      </c>
      <c r="G92" s="4">
        <v>701</v>
      </c>
      <c r="H92" s="4">
        <v>342</v>
      </c>
      <c r="I92" s="4">
        <v>710</v>
      </c>
      <c r="J92" s="4">
        <v>344</v>
      </c>
    </row>
    <row r="93" spans="1:13" x14ac:dyDescent="0.3">
      <c r="A93" s="104"/>
      <c r="C93" s="59"/>
      <c r="D93" s="60"/>
      <c r="E93" s="59"/>
      <c r="F93" s="59"/>
      <c r="G93" s="59"/>
      <c r="H93" s="59"/>
      <c r="I93" s="59"/>
      <c r="J93" s="59"/>
    </row>
    <row r="94" spans="1:13" x14ac:dyDescent="0.3">
      <c r="A94" s="104"/>
      <c r="C94" s="59"/>
      <c r="D94" s="59"/>
      <c r="E94" s="110" t="s">
        <v>59</v>
      </c>
      <c r="F94" s="112"/>
      <c r="G94" s="110" t="s">
        <v>60</v>
      </c>
      <c r="H94" s="112"/>
      <c r="I94" s="110" t="s">
        <v>61</v>
      </c>
      <c r="J94" s="111"/>
    </row>
    <row r="95" spans="1:13" x14ac:dyDescent="0.3">
      <c r="A95" s="104"/>
      <c r="C95" s="59"/>
      <c r="D95" s="59"/>
      <c r="E95" s="18" t="s">
        <v>13</v>
      </c>
      <c r="F95" s="18" t="s">
        <v>62</v>
      </c>
      <c r="G95" s="18" t="s">
        <v>13</v>
      </c>
      <c r="H95" s="18" t="s">
        <v>62</v>
      </c>
      <c r="I95" s="18" t="s">
        <v>13</v>
      </c>
      <c r="J95" s="18" t="s">
        <v>62</v>
      </c>
    </row>
    <row r="96" spans="1:13" x14ac:dyDescent="0.3">
      <c r="A96" s="104"/>
      <c r="C96" s="107" t="s">
        <v>39</v>
      </c>
      <c r="D96" s="16" t="s">
        <v>23</v>
      </c>
      <c r="E96" s="28">
        <v>9.6658000000000044</v>
      </c>
      <c r="F96" s="28">
        <v>14.519900000000002</v>
      </c>
      <c r="G96" s="28">
        <v>0.70560000000000045</v>
      </c>
      <c r="H96" s="28">
        <v>0.85319999999999996</v>
      </c>
      <c r="I96" s="28">
        <v>1.5281999999999996</v>
      </c>
      <c r="J96" s="28">
        <v>0.92749999999999999</v>
      </c>
    </row>
    <row r="97" spans="1:20" x14ac:dyDescent="0.3">
      <c r="A97" s="104"/>
      <c r="C97" s="107"/>
      <c r="D97" s="17" t="s">
        <v>24</v>
      </c>
      <c r="E97" s="33">
        <v>2.5305</v>
      </c>
      <c r="F97" s="33">
        <v>12.04975</v>
      </c>
      <c r="G97" s="33">
        <v>0.47749999999999998</v>
      </c>
      <c r="H97" s="33">
        <v>0.62324999999999997</v>
      </c>
      <c r="I97" s="33">
        <v>0.61799999999999999</v>
      </c>
      <c r="J97" s="33">
        <v>0.37675000000000003</v>
      </c>
    </row>
    <row r="98" spans="1:20" s="25" customFormat="1" ht="19.95" customHeight="1" x14ac:dyDescent="0.3">
      <c r="A98" s="104"/>
      <c r="C98" s="107"/>
      <c r="D98" s="31" t="s">
        <v>26</v>
      </c>
      <c r="E98" s="34">
        <v>0.376</v>
      </c>
      <c r="F98" s="34">
        <v>8.1389999999999993</v>
      </c>
      <c r="G98" s="34">
        <v>0.14699999999999999</v>
      </c>
      <c r="H98" s="34">
        <v>0.44400000000000001</v>
      </c>
      <c r="I98" s="34">
        <v>0.11849999999999999</v>
      </c>
      <c r="J98" s="34">
        <v>5.9499999999999997E-2</v>
      </c>
      <c r="L98"/>
      <c r="M98"/>
      <c r="N98"/>
      <c r="O98"/>
      <c r="P98"/>
      <c r="Q98"/>
      <c r="R98"/>
      <c r="S98"/>
      <c r="T98"/>
    </row>
    <row r="99" spans="1:20" x14ac:dyDescent="0.3">
      <c r="A99" s="104"/>
      <c r="C99" s="107"/>
      <c r="D99" s="17" t="s">
        <v>27</v>
      </c>
      <c r="E99" s="36">
        <v>0.128</v>
      </c>
      <c r="F99" s="36">
        <v>3.5169999999999999</v>
      </c>
      <c r="G99" s="36">
        <v>0</v>
      </c>
      <c r="H99" s="36">
        <v>0.22800000000000001</v>
      </c>
      <c r="I99" s="36">
        <v>0</v>
      </c>
      <c r="J99" s="36">
        <v>0</v>
      </c>
    </row>
    <row r="100" spans="1:20" x14ac:dyDescent="0.3">
      <c r="A100" s="104"/>
      <c r="C100" s="107"/>
      <c r="D100" s="16" t="s">
        <v>28</v>
      </c>
      <c r="E100" s="34">
        <v>4.58E-2</v>
      </c>
      <c r="F100" s="34">
        <v>2.7132000000000001</v>
      </c>
      <c r="G100" s="34">
        <v>0</v>
      </c>
      <c r="H100" s="34">
        <v>5.7300000000000004E-2</v>
      </c>
      <c r="I100" s="34">
        <v>0</v>
      </c>
      <c r="J100" s="34">
        <v>0</v>
      </c>
    </row>
    <row r="101" spans="1:20" x14ac:dyDescent="0.3">
      <c r="A101" s="104"/>
      <c r="C101" s="59"/>
      <c r="D101" s="60"/>
      <c r="E101" s="59"/>
      <c r="F101" s="59"/>
      <c r="G101" s="59"/>
      <c r="H101" s="59"/>
      <c r="I101" s="59"/>
      <c r="J101" s="59"/>
    </row>
    <row r="102" spans="1:20" x14ac:dyDescent="0.3">
      <c r="A102" s="104"/>
      <c r="C102" s="59"/>
      <c r="D102" s="59"/>
      <c r="E102" s="110" t="s">
        <v>59</v>
      </c>
      <c r="F102" s="112"/>
      <c r="G102" s="110" t="s">
        <v>60</v>
      </c>
      <c r="H102" s="112"/>
      <c r="I102" s="110" t="s">
        <v>61</v>
      </c>
      <c r="J102" s="111"/>
    </row>
    <row r="103" spans="1:20" x14ac:dyDescent="0.3">
      <c r="A103" s="104"/>
      <c r="C103" s="59"/>
      <c r="D103" s="59"/>
      <c r="E103" s="18" t="s">
        <v>13</v>
      </c>
      <c r="F103" s="18" t="s">
        <v>62</v>
      </c>
      <c r="G103" s="18" t="s">
        <v>13</v>
      </c>
      <c r="H103" s="18" t="s">
        <v>62</v>
      </c>
      <c r="I103" s="18" t="s">
        <v>13</v>
      </c>
      <c r="J103" s="18" t="s">
        <v>62</v>
      </c>
    </row>
    <row r="104" spans="1:20" x14ac:dyDescent="0.3">
      <c r="A104" s="104"/>
      <c r="C104" s="108" t="s">
        <v>40</v>
      </c>
      <c r="D104" s="5" t="s">
        <v>23</v>
      </c>
      <c r="E104" s="6">
        <v>50.362400000000001</v>
      </c>
      <c r="F104" s="6">
        <v>66.180599999999998</v>
      </c>
      <c r="G104" s="6">
        <v>3.9664000000000015</v>
      </c>
      <c r="H104" s="6">
        <v>4.601</v>
      </c>
      <c r="I104" s="6">
        <v>8.0381</v>
      </c>
      <c r="J104" s="6">
        <v>5.6204999999999998</v>
      </c>
    </row>
    <row r="105" spans="1:20" x14ac:dyDescent="0.3">
      <c r="A105" s="104"/>
      <c r="C105" s="108"/>
      <c r="D105" s="7" t="s">
        <v>24</v>
      </c>
      <c r="E105" s="8">
        <v>18.661999999999999</v>
      </c>
      <c r="F105" s="8">
        <v>52.39</v>
      </c>
      <c r="G105" s="8">
        <v>2.7290000000000001</v>
      </c>
      <c r="H105" s="8">
        <v>3.5369999999999999</v>
      </c>
      <c r="I105" s="8">
        <v>3.3674999999999997</v>
      </c>
      <c r="J105" s="8">
        <v>2.0122499999999999</v>
      </c>
    </row>
    <row r="106" spans="1:20" x14ac:dyDescent="0.3">
      <c r="A106" s="104"/>
      <c r="C106" s="108"/>
      <c r="D106" s="5" t="s">
        <v>26</v>
      </c>
      <c r="E106" s="9">
        <v>2.0659999999999998</v>
      </c>
      <c r="F106" s="9">
        <v>41.408999999999999</v>
      </c>
      <c r="G106" s="9">
        <v>0.76300000000000001</v>
      </c>
      <c r="H106" s="9">
        <v>2.4459999999999997</v>
      </c>
      <c r="I106" s="9">
        <v>0.63300000000000001</v>
      </c>
      <c r="J106" s="9">
        <v>0.38500000000000001</v>
      </c>
    </row>
    <row r="107" spans="1:20" x14ac:dyDescent="0.3">
      <c r="A107" s="104"/>
      <c r="C107" s="108"/>
      <c r="D107" s="7" t="s">
        <v>27</v>
      </c>
      <c r="E107" s="10">
        <v>0.72649999999999992</v>
      </c>
      <c r="F107" s="10">
        <v>26.4115</v>
      </c>
      <c r="G107" s="10">
        <v>0</v>
      </c>
      <c r="H107" s="10">
        <v>1.54725</v>
      </c>
      <c r="I107" s="10">
        <v>0</v>
      </c>
      <c r="J107" s="10">
        <v>0</v>
      </c>
    </row>
    <row r="108" spans="1:20" x14ac:dyDescent="0.3">
      <c r="A108" s="104"/>
      <c r="C108" s="108"/>
      <c r="D108" s="5" t="s">
        <v>28</v>
      </c>
      <c r="E108" s="9">
        <v>0.21179999999999999</v>
      </c>
      <c r="F108" s="9">
        <v>24.200700000000001</v>
      </c>
      <c r="G108" s="9">
        <v>0</v>
      </c>
      <c r="H108" s="9">
        <v>0.29330000000000001</v>
      </c>
      <c r="I108" s="9">
        <v>0</v>
      </c>
      <c r="J108" s="9">
        <v>0</v>
      </c>
    </row>
    <row r="109" spans="1:20" x14ac:dyDescent="0.3">
      <c r="A109" s="104"/>
      <c r="C109" s="59"/>
      <c r="D109" s="60"/>
      <c r="E109" s="59"/>
      <c r="F109" s="59"/>
      <c r="G109" s="59"/>
      <c r="H109" s="59"/>
      <c r="I109" s="59"/>
      <c r="J109" s="59"/>
      <c r="K109" s="59"/>
      <c r="L109" s="59"/>
      <c r="M109" s="59"/>
    </row>
    <row r="110" spans="1:20" x14ac:dyDescent="0.3">
      <c r="A110" s="104"/>
      <c r="C110" s="59"/>
      <c r="D110" s="60"/>
      <c r="E110" s="59"/>
      <c r="F110" s="59"/>
      <c r="G110" s="59"/>
      <c r="H110" s="59"/>
      <c r="I110" s="59"/>
      <c r="J110" s="59"/>
      <c r="K110" s="59"/>
      <c r="L110" s="59"/>
      <c r="M110" s="59"/>
    </row>
    <row r="111" spans="1:20" ht="18" x14ac:dyDescent="0.35">
      <c r="A111" s="104"/>
      <c r="C111" s="81" t="str">
        <f>D10</f>
        <v>OMR - Évolution du coût aidé HT</v>
      </c>
      <c r="D111" s="81"/>
      <c r="E111" s="81"/>
      <c r="F111" s="81"/>
      <c r="G111" s="81"/>
      <c r="H111" s="81"/>
      <c r="I111" s="81"/>
      <c r="J111" s="81"/>
      <c r="K111" s="81"/>
      <c r="L111" s="81"/>
      <c r="M111" s="81"/>
    </row>
    <row r="112" spans="1:20" x14ac:dyDescent="0.3">
      <c r="A112" s="104"/>
      <c r="C112" s="106" t="s">
        <v>35</v>
      </c>
      <c r="D112" s="106"/>
      <c r="E112" s="59"/>
      <c r="F112" s="59"/>
      <c r="G112" s="59"/>
      <c r="H112" s="59"/>
      <c r="I112" s="59"/>
      <c r="J112" s="59"/>
      <c r="K112" s="59"/>
      <c r="L112" s="59"/>
      <c r="M112" s="59"/>
    </row>
    <row r="113" spans="1:13" x14ac:dyDescent="0.3">
      <c r="A113" s="104"/>
      <c r="C113" s="59"/>
      <c r="D113" s="59"/>
      <c r="E113" s="2">
        <v>2010</v>
      </c>
      <c r="F113" s="2">
        <v>2012</v>
      </c>
      <c r="G113" s="2">
        <v>2014</v>
      </c>
      <c r="H113" s="2">
        <v>2016</v>
      </c>
      <c r="I113" s="2">
        <v>2018</v>
      </c>
      <c r="J113" s="2">
        <v>2019</v>
      </c>
      <c r="K113" s="2">
        <v>2020</v>
      </c>
      <c r="L113" s="2">
        <v>2022</v>
      </c>
      <c r="M113" s="2">
        <v>2023</v>
      </c>
    </row>
    <row r="114" spans="1:13" x14ac:dyDescent="0.3">
      <c r="A114" s="104"/>
      <c r="C114" s="59"/>
      <c r="D114" s="3" t="s">
        <v>36</v>
      </c>
      <c r="E114" s="13">
        <v>177</v>
      </c>
      <c r="F114" s="13">
        <v>358</v>
      </c>
      <c r="G114" s="13">
        <v>382</v>
      </c>
      <c r="H114" s="12">
        <v>351</v>
      </c>
      <c r="I114" s="12">
        <v>422</v>
      </c>
      <c r="J114" s="12">
        <v>597</v>
      </c>
      <c r="K114" s="12">
        <v>463</v>
      </c>
      <c r="L114" s="12">
        <v>648</v>
      </c>
      <c r="M114" s="12">
        <v>597</v>
      </c>
    </row>
    <row r="115" spans="1:13" x14ac:dyDescent="0.3">
      <c r="A115" s="104"/>
      <c r="C115" s="59"/>
      <c r="D115" s="60"/>
      <c r="E115" s="59"/>
      <c r="F115" s="59"/>
      <c r="G115" s="59"/>
      <c r="H115" s="59"/>
      <c r="I115" s="59"/>
      <c r="J115" s="59"/>
      <c r="K115" s="59"/>
      <c r="L115" s="59"/>
      <c r="M115" s="59"/>
    </row>
    <row r="116" spans="1:13" x14ac:dyDescent="0.3">
      <c r="A116" s="104"/>
      <c r="C116" s="59"/>
      <c r="D116" s="59"/>
      <c r="E116" s="2">
        <v>2010</v>
      </c>
      <c r="F116" s="2">
        <v>2012</v>
      </c>
      <c r="G116" s="2">
        <v>2014</v>
      </c>
      <c r="H116" s="2">
        <v>2016</v>
      </c>
      <c r="I116" s="2">
        <v>2018</v>
      </c>
      <c r="J116" s="2">
        <v>2019</v>
      </c>
      <c r="K116" s="2">
        <v>2020</v>
      </c>
      <c r="L116" s="2">
        <v>2022</v>
      </c>
      <c r="M116" s="2">
        <v>2023</v>
      </c>
    </row>
    <row r="117" spans="1:13" ht="15" customHeight="1" x14ac:dyDescent="0.3">
      <c r="A117" s="104"/>
      <c r="C117" s="107" t="s">
        <v>39</v>
      </c>
      <c r="D117" s="16" t="s">
        <v>23</v>
      </c>
      <c r="E117" s="28">
        <v>64.820899999999995</v>
      </c>
      <c r="F117" s="28">
        <v>65.93659000000001</v>
      </c>
      <c r="G117" s="28">
        <v>70.51345000000002</v>
      </c>
      <c r="H117" s="28">
        <v>73.2</v>
      </c>
      <c r="I117" s="28">
        <v>75.939790000000002</v>
      </c>
      <c r="J117" s="28">
        <v>80.138300000000001</v>
      </c>
      <c r="K117" s="28">
        <v>76.53728000000001</v>
      </c>
      <c r="L117" s="28">
        <v>92.888100000000009</v>
      </c>
      <c r="M117" s="28">
        <v>93.603999999999999</v>
      </c>
    </row>
    <row r="118" spans="1:13" x14ac:dyDescent="0.3">
      <c r="A118" s="104"/>
      <c r="C118" s="107"/>
      <c r="D118" s="17" t="s">
        <v>24</v>
      </c>
      <c r="E118" s="33">
        <v>56.877000000000002</v>
      </c>
      <c r="F118" s="33">
        <v>57.186575000000005</v>
      </c>
      <c r="G118" s="33">
        <v>58.962699999999998</v>
      </c>
      <c r="H118" s="33">
        <v>57.9</v>
      </c>
      <c r="I118" s="33">
        <v>59.581975</v>
      </c>
      <c r="J118" s="33">
        <v>61.776800000000001</v>
      </c>
      <c r="K118" s="33">
        <v>61.391800000000003</v>
      </c>
      <c r="L118" s="33">
        <v>71.926999999999992</v>
      </c>
      <c r="M118" s="33">
        <v>71.884500000000003</v>
      </c>
    </row>
    <row r="119" spans="1:13" x14ac:dyDescent="0.3">
      <c r="A119" s="104"/>
      <c r="C119" s="107"/>
      <c r="D119" s="31" t="s">
        <v>25</v>
      </c>
      <c r="E119" s="28">
        <v>50.843892293148905</v>
      </c>
      <c r="F119" s="28">
        <v>53.070704160545993</v>
      </c>
      <c r="G119" s="28">
        <v>55.947085816829492</v>
      </c>
      <c r="H119" s="28">
        <v>53.1</v>
      </c>
      <c r="I119" s="28">
        <v>55.155776570338602</v>
      </c>
      <c r="J119" s="28">
        <v>57.837957111559909</v>
      </c>
      <c r="K119" s="28">
        <v>59.826705337303693</v>
      </c>
      <c r="L119" s="28">
        <v>64.92666172032034</v>
      </c>
      <c r="M119" s="28">
        <v>66.307237987382663</v>
      </c>
    </row>
    <row r="120" spans="1:13" x14ac:dyDescent="0.3">
      <c r="A120" s="104"/>
      <c r="C120" s="107"/>
      <c r="D120" s="31" t="s">
        <v>26</v>
      </c>
      <c r="E120" s="28">
        <v>47.767400000000002</v>
      </c>
      <c r="F120" s="28">
        <v>47.002499999999998</v>
      </c>
      <c r="G120" s="28">
        <v>49.554050000000004</v>
      </c>
      <c r="H120" s="28">
        <v>48.063899999999997</v>
      </c>
      <c r="I120" s="28">
        <v>48.9</v>
      </c>
      <c r="J120" s="28">
        <v>49.9</v>
      </c>
      <c r="K120" s="28">
        <v>49.8782</v>
      </c>
      <c r="L120" s="28">
        <v>57.435500000000005</v>
      </c>
      <c r="M120" s="28">
        <v>57.82</v>
      </c>
    </row>
    <row r="121" spans="1:13" x14ac:dyDescent="0.3">
      <c r="A121" s="104"/>
      <c r="C121" s="107"/>
      <c r="D121" s="17" t="s">
        <v>27</v>
      </c>
      <c r="E121" s="33">
        <v>40.140799999999999</v>
      </c>
      <c r="F121" s="33">
        <v>38.376075</v>
      </c>
      <c r="G121" s="33">
        <v>39.399100000000004</v>
      </c>
      <c r="H121" s="33">
        <v>38</v>
      </c>
      <c r="I121" s="33">
        <v>41.075900000000004</v>
      </c>
      <c r="J121" s="33">
        <v>41.184600000000003</v>
      </c>
      <c r="K121" s="33">
        <v>41.195599999999999</v>
      </c>
      <c r="L121" s="33">
        <v>44.937750000000001</v>
      </c>
      <c r="M121" s="33">
        <v>45.746499999999997</v>
      </c>
    </row>
    <row r="122" spans="1:13" x14ac:dyDescent="0.3">
      <c r="A122" s="104"/>
      <c r="C122" s="107"/>
      <c r="D122" s="16" t="s">
        <v>28</v>
      </c>
      <c r="E122" s="34">
        <v>34.020559999999996</v>
      </c>
      <c r="F122" s="34">
        <v>33.256999999999998</v>
      </c>
      <c r="G122" s="34">
        <v>32.610810000000001</v>
      </c>
      <c r="H122" s="34">
        <v>33.1</v>
      </c>
      <c r="I122" s="34">
        <v>33.999459999999999</v>
      </c>
      <c r="J122" s="34">
        <v>34.109299999999998</v>
      </c>
      <c r="K122" s="34">
        <v>33.718960000000003</v>
      </c>
      <c r="L122" s="34">
        <v>37.028799999999997</v>
      </c>
      <c r="M122" s="34">
        <v>36.805800000000005</v>
      </c>
    </row>
    <row r="123" spans="1:13" x14ac:dyDescent="0.3">
      <c r="A123" s="104"/>
      <c r="C123" s="59"/>
      <c r="D123" s="60"/>
      <c r="E123" s="59"/>
      <c r="F123" s="59"/>
      <c r="G123" s="59"/>
      <c r="H123" s="59"/>
      <c r="I123" s="59"/>
      <c r="J123" s="59"/>
      <c r="K123" s="59"/>
      <c r="L123" s="59"/>
      <c r="M123" s="59"/>
    </row>
    <row r="124" spans="1:13" x14ac:dyDescent="0.3">
      <c r="A124" s="104"/>
      <c r="C124" s="59"/>
      <c r="D124" s="59"/>
      <c r="E124" s="2">
        <v>2010</v>
      </c>
      <c r="F124" s="2">
        <v>2012</v>
      </c>
      <c r="G124" s="2">
        <v>2014</v>
      </c>
      <c r="H124" s="2">
        <v>2016</v>
      </c>
      <c r="I124" s="2">
        <v>2018</v>
      </c>
      <c r="J124" s="2">
        <v>2019</v>
      </c>
      <c r="K124" s="2">
        <v>2020</v>
      </c>
      <c r="L124" s="2">
        <v>2022</v>
      </c>
      <c r="M124" s="2">
        <v>2023</v>
      </c>
    </row>
    <row r="125" spans="1:13" ht="15" customHeight="1" x14ac:dyDescent="0.3">
      <c r="A125" s="104"/>
      <c r="C125" s="108" t="s">
        <v>40</v>
      </c>
      <c r="D125" s="5" t="s">
        <v>23</v>
      </c>
      <c r="E125" s="6">
        <v>243.79228000000001</v>
      </c>
      <c r="F125" s="6">
        <v>278.32460000000003</v>
      </c>
      <c r="G125" s="6">
        <v>319.61048000000011</v>
      </c>
      <c r="H125" s="6">
        <v>333.4</v>
      </c>
      <c r="I125" s="6">
        <v>327.25905</v>
      </c>
      <c r="J125" s="6">
        <v>327.35270000000003</v>
      </c>
      <c r="K125" s="6">
        <v>334.03919999999999</v>
      </c>
      <c r="L125" s="6">
        <v>386.02410000000003</v>
      </c>
      <c r="M125" s="6">
        <v>418.83920000000006</v>
      </c>
    </row>
    <row r="126" spans="1:13" x14ac:dyDescent="0.3">
      <c r="A126" s="104"/>
      <c r="C126" s="108"/>
      <c r="D126" s="7" t="s">
        <v>24</v>
      </c>
      <c r="E126" s="8">
        <v>221.6345</v>
      </c>
      <c r="F126" s="8">
        <v>240.1199</v>
      </c>
      <c r="G126" s="8">
        <v>266.00127500000002</v>
      </c>
      <c r="H126" s="8">
        <v>273.10000000000002</v>
      </c>
      <c r="I126" s="8">
        <v>281.848725</v>
      </c>
      <c r="J126" s="8">
        <v>286.1277</v>
      </c>
      <c r="K126" s="8">
        <v>293.94209999999998</v>
      </c>
      <c r="L126" s="8">
        <v>338.36725000000001</v>
      </c>
      <c r="M126" s="8">
        <v>372.64699999999999</v>
      </c>
    </row>
    <row r="127" spans="1:13" x14ac:dyDescent="0.3">
      <c r="A127" s="104"/>
      <c r="C127" s="108"/>
      <c r="D127" s="5" t="s">
        <v>25</v>
      </c>
      <c r="E127" s="6">
        <v>199.03354124216079</v>
      </c>
      <c r="F127" s="6">
        <v>210.91455465831598</v>
      </c>
      <c r="G127" s="6">
        <v>227.37574569146182</v>
      </c>
      <c r="H127" s="6">
        <v>229.1</v>
      </c>
      <c r="I127" s="6">
        <v>233.92976220119107</v>
      </c>
      <c r="J127" s="6">
        <v>244.97020212212166</v>
      </c>
      <c r="K127" s="6">
        <v>252.82573933102429</v>
      </c>
      <c r="L127" s="6">
        <v>285.05976852252644</v>
      </c>
      <c r="M127" s="6">
        <v>307.90601480363057</v>
      </c>
    </row>
    <row r="128" spans="1:13" x14ac:dyDescent="0.3">
      <c r="A128" s="104"/>
      <c r="C128" s="108"/>
      <c r="D128" s="7" t="s">
        <v>27</v>
      </c>
      <c r="E128" s="8">
        <v>177.07050000000001</v>
      </c>
      <c r="F128" s="8">
        <v>187.92602499999998</v>
      </c>
      <c r="G128" s="8">
        <v>199.500325</v>
      </c>
      <c r="H128" s="8">
        <v>206.3</v>
      </c>
      <c r="I128" s="8">
        <v>213.66307499999999</v>
      </c>
      <c r="J128" s="8">
        <v>213.97659999999999</v>
      </c>
      <c r="K128" s="8">
        <v>216.28980000000001</v>
      </c>
      <c r="L128" s="8">
        <v>253.15</v>
      </c>
      <c r="M128" s="8">
        <v>275.04049999999995</v>
      </c>
    </row>
    <row r="129" spans="1:16" x14ac:dyDescent="0.3">
      <c r="A129" s="104"/>
      <c r="C129" s="108"/>
      <c r="D129" s="5" t="s">
        <v>28</v>
      </c>
      <c r="E129" s="9">
        <v>163.93862000000001</v>
      </c>
      <c r="F129" s="9">
        <v>162.00185999999999</v>
      </c>
      <c r="G129" s="9">
        <v>175.52834999999999</v>
      </c>
      <c r="H129" s="9">
        <v>180.5</v>
      </c>
      <c r="I129" s="9">
        <v>188.25092000000001</v>
      </c>
      <c r="J129" s="9">
        <v>191.9246</v>
      </c>
      <c r="K129" s="9">
        <v>189.01920000000001</v>
      </c>
      <c r="L129" s="9">
        <v>223.68389999999999</v>
      </c>
      <c r="M129" s="9">
        <v>231.50720000000001</v>
      </c>
    </row>
    <row r="130" spans="1:16" x14ac:dyDescent="0.3">
      <c r="A130" s="104"/>
      <c r="C130" s="59"/>
      <c r="D130" s="60"/>
      <c r="E130" s="59"/>
      <c r="F130" s="59"/>
      <c r="G130" s="59"/>
      <c r="H130" s="59"/>
      <c r="I130" s="59"/>
      <c r="J130" s="59"/>
      <c r="K130" s="59"/>
      <c r="L130" s="59"/>
      <c r="M130" s="59"/>
    </row>
    <row r="131" spans="1:16" x14ac:dyDescent="0.3">
      <c r="A131" s="104"/>
      <c r="C131" s="59"/>
      <c r="D131" s="60"/>
      <c r="E131" s="59"/>
      <c r="F131" s="59"/>
      <c r="G131" s="59"/>
      <c r="H131" s="59"/>
      <c r="I131" s="59"/>
      <c r="J131" s="59"/>
      <c r="K131" s="59"/>
      <c r="L131" s="59"/>
      <c r="M131" s="59"/>
    </row>
    <row r="132" spans="1:16" ht="18" x14ac:dyDescent="0.35">
      <c r="A132" s="104"/>
      <c r="C132" s="81" t="str">
        <f>D11</f>
        <v>OMR - Coût aidé HT et la typologie d'habitat</v>
      </c>
      <c r="D132" s="81"/>
      <c r="E132" s="81"/>
      <c r="F132" s="81"/>
      <c r="G132" s="81"/>
      <c r="H132" s="81"/>
      <c r="I132" s="81"/>
      <c r="J132" s="81"/>
      <c r="K132" s="81"/>
      <c r="L132" s="81"/>
      <c r="M132" s="81"/>
    </row>
    <row r="133" spans="1:16" x14ac:dyDescent="0.3">
      <c r="A133" s="104"/>
      <c r="C133" s="106" t="s">
        <v>35</v>
      </c>
      <c r="D133" s="106"/>
      <c r="E133" s="59"/>
      <c r="F133" s="59"/>
      <c r="G133" s="59"/>
      <c r="H133" s="59"/>
      <c r="I133" s="59"/>
      <c r="J133" s="59"/>
      <c r="K133" s="59"/>
      <c r="L133" s="59"/>
      <c r="M133" s="59"/>
    </row>
    <row r="134" spans="1:16" x14ac:dyDescent="0.3">
      <c r="A134" s="104"/>
      <c r="C134" s="59"/>
      <c r="D134" s="59"/>
      <c r="E134" s="2" t="s">
        <v>14</v>
      </c>
      <c r="F134" s="2" t="s">
        <v>15</v>
      </c>
      <c r="G134" s="2" t="s">
        <v>16</v>
      </c>
      <c r="H134" s="2" t="s">
        <v>17</v>
      </c>
      <c r="I134" s="2" t="s">
        <v>18</v>
      </c>
      <c r="J134" s="59"/>
      <c r="K134" s="59"/>
      <c r="L134" s="59"/>
      <c r="M134" s="59"/>
    </row>
    <row r="135" spans="1:16" x14ac:dyDescent="0.3">
      <c r="A135" s="104"/>
      <c r="C135" s="59"/>
      <c r="D135" s="3" t="s">
        <v>36</v>
      </c>
      <c r="E135" s="4">
        <v>215</v>
      </c>
      <c r="F135" s="4">
        <v>191</v>
      </c>
      <c r="G135" s="4">
        <v>67</v>
      </c>
      <c r="H135" s="4">
        <v>62</v>
      </c>
      <c r="I135" s="4">
        <v>62</v>
      </c>
      <c r="J135" s="59"/>
      <c r="K135" s="59"/>
      <c r="L135" s="59"/>
      <c r="M135" s="59"/>
    </row>
    <row r="136" spans="1:16" x14ac:dyDescent="0.3">
      <c r="A136" s="104"/>
      <c r="C136" s="59"/>
      <c r="D136" s="3" t="s">
        <v>42</v>
      </c>
      <c r="E136" s="71">
        <v>167</v>
      </c>
      <c r="F136" s="71">
        <v>185</v>
      </c>
      <c r="G136" s="71">
        <v>200</v>
      </c>
      <c r="H136" s="71">
        <v>225.5</v>
      </c>
      <c r="I136" s="71">
        <v>258.5</v>
      </c>
      <c r="K136" s="59"/>
      <c r="L136" s="59"/>
      <c r="M136" s="59"/>
    </row>
    <row r="137" spans="1:16" x14ac:dyDescent="0.3">
      <c r="A137" s="104"/>
      <c r="C137" s="59"/>
      <c r="D137" s="60"/>
      <c r="E137" s="59"/>
      <c r="F137" s="59"/>
      <c r="G137" s="59"/>
      <c r="H137" s="59"/>
      <c r="I137" s="59"/>
      <c r="J137" s="59"/>
      <c r="K137" s="59"/>
      <c r="L137" s="59"/>
      <c r="M137" s="59"/>
    </row>
    <row r="138" spans="1:16" x14ac:dyDescent="0.3">
      <c r="A138" s="104"/>
      <c r="C138" s="59"/>
      <c r="D138" s="59"/>
      <c r="E138" s="2" t="s">
        <v>14</v>
      </c>
      <c r="F138" s="2" t="s">
        <v>15</v>
      </c>
      <c r="G138" s="2" t="s">
        <v>16</v>
      </c>
      <c r="H138" s="2" t="s">
        <v>17</v>
      </c>
      <c r="I138" s="2" t="s">
        <v>18</v>
      </c>
      <c r="J138" s="59"/>
      <c r="K138" s="59"/>
      <c r="L138" s="59"/>
      <c r="M138" s="59"/>
    </row>
    <row r="139" spans="1:16" x14ac:dyDescent="0.3">
      <c r="A139" s="104"/>
      <c r="C139" s="107" t="s">
        <v>39</v>
      </c>
      <c r="D139" s="17" t="s">
        <v>23</v>
      </c>
      <c r="E139" s="20">
        <v>77.452600000000189</v>
      </c>
      <c r="F139" s="20">
        <v>83.681599999999904</v>
      </c>
      <c r="G139" s="20">
        <v>97.789799999999829</v>
      </c>
      <c r="H139" s="20">
        <v>82.317699999999959</v>
      </c>
      <c r="I139" s="20">
        <v>152.77829999999997</v>
      </c>
      <c r="J139" s="59"/>
      <c r="L139" s="59"/>
      <c r="M139" s="59"/>
    </row>
    <row r="140" spans="1:16" x14ac:dyDescent="0.3">
      <c r="A140" s="104"/>
      <c r="C140" s="107"/>
      <c r="D140" s="16" t="s">
        <v>24</v>
      </c>
      <c r="E140" s="21">
        <v>63.495999999999725</v>
      </c>
      <c r="F140" s="21">
        <v>66.489999999999824</v>
      </c>
      <c r="G140" s="21">
        <v>75.63299999999991</v>
      </c>
      <c r="H140" s="21">
        <v>70.89100000000002</v>
      </c>
      <c r="I140" s="21">
        <v>118.16700000000013</v>
      </c>
      <c r="J140" s="59"/>
      <c r="L140" s="59"/>
      <c r="M140" s="59"/>
    </row>
    <row r="141" spans="1:16" s="25" customFormat="1" x14ac:dyDescent="0.3">
      <c r="A141" s="104"/>
      <c r="C141" s="107"/>
      <c r="D141" s="35" t="s">
        <v>26</v>
      </c>
      <c r="E141" s="22">
        <v>52.755999999999929</v>
      </c>
      <c r="F141" s="22">
        <v>55.304000000000066</v>
      </c>
      <c r="G141" s="22">
        <v>58.474000000000068</v>
      </c>
      <c r="H141" s="22">
        <v>62.40700000000006</v>
      </c>
      <c r="I141" s="22">
        <v>86.902999999999977</v>
      </c>
      <c r="J141" s="64"/>
      <c r="K141"/>
      <c r="L141" s="59"/>
      <c r="M141" s="59"/>
      <c r="N141"/>
      <c r="O141"/>
      <c r="P141"/>
    </row>
    <row r="142" spans="1:16" x14ac:dyDescent="0.3">
      <c r="A142" s="104"/>
      <c r="C142" s="107"/>
      <c r="D142" s="16" t="s">
        <v>27</v>
      </c>
      <c r="E142" s="21">
        <v>43.16700000000008</v>
      </c>
      <c r="F142" s="21">
        <v>43.645999999999916</v>
      </c>
      <c r="G142" s="21">
        <v>47.478999999999949</v>
      </c>
      <c r="H142" s="21">
        <v>48.382000000000033</v>
      </c>
      <c r="I142" s="21">
        <v>75.748999999999896</v>
      </c>
      <c r="J142" s="59"/>
      <c r="L142" s="59"/>
      <c r="M142" s="59"/>
    </row>
    <row r="143" spans="1:16" x14ac:dyDescent="0.3">
      <c r="A143" s="104"/>
      <c r="C143" s="107"/>
      <c r="D143" s="17" t="s">
        <v>28</v>
      </c>
      <c r="E143" s="20">
        <v>34.593399999999939</v>
      </c>
      <c r="F143" s="20">
        <v>35.436599999999999</v>
      </c>
      <c r="G143" s="20">
        <v>36.815399999999968</v>
      </c>
      <c r="H143" s="20">
        <v>41.197200000000031</v>
      </c>
      <c r="I143" s="20">
        <v>63.497199999999914</v>
      </c>
      <c r="J143" s="59"/>
      <c r="L143" s="59"/>
      <c r="M143" s="59"/>
    </row>
    <row r="144" spans="1:16" x14ac:dyDescent="0.3">
      <c r="A144" s="104"/>
      <c r="C144" s="59"/>
      <c r="D144" s="60"/>
      <c r="E144" s="59"/>
      <c r="F144" s="59"/>
      <c r="G144" s="59"/>
      <c r="H144" s="59"/>
      <c r="I144" s="59"/>
      <c r="J144" s="59"/>
      <c r="L144" s="59"/>
      <c r="M144" s="59"/>
    </row>
    <row r="145" spans="1:13" x14ac:dyDescent="0.3">
      <c r="A145" s="104"/>
      <c r="C145" s="59"/>
      <c r="D145" s="59"/>
      <c r="E145" s="2" t="s">
        <v>14</v>
      </c>
      <c r="F145" s="2" t="s">
        <v>15</v>
      </c>
      <c r="G145" s="2" t="s">
        <v>16</v>
      </c>
      <c r="H145" s="2" t="s">
        <v>17</v>
      </c>
      <c r="I145" s="2" t="s">
        <v>18</v>
      </c>
      <c r="J145" s="59"/>
      <c r="L145" s="59"/>
      <c r="M145" s="59"/>
    </row>
    <row r="146" spans="1:13" x14ac:dyDescent="0.3">
      <c r="A146" s="104"/>
      <c r="C146" s="108" t="s">
        <v>40</v>
      </c>
      <c r="D146" s="7" t="s">
        <v>23</v>
      </c>
      <c r="E146" s="8">
        <v>422.7737999999996</v>
      </c>
      <c r="F146" s="8">
        <v>424.82620000000031</v>
      </c>
      <c r="G146" s="8">
        <v>394.25080000000054</v>
      </c>
      <c r="H146" s="8">
        <v>364.75739999999985</v>
      </c>
      <c r="I146" s="8">
        <v>468.90750000000043</v>
      </c>
      <c r="J146" s="59"/>
      <c r="L146" s="59"/>
      <c r="M146" s="59"/>
    </row>
    <row r="147" spans="1:13" x14ac:dyDescent="0.3">
      <c r="A147" s="104"/>
      <c r="C147" s="108"/>
      <c r="D147" s="5" t="s">
        <v>24</v>
      </c>
      <c r="E147" s="9">
        <v>378.40899999999971</v>
      </c>
      <c r="F147" s="9">
        <v>376.14400000000018</v>
      </c>
      <c r="G147" s="9">
        <v>352.05900000000014</v>
      </c>
      <c r="H147" s="9">
        <v>323.43850000000015</v>
      </c>
      <c r="I147" s="9">
        <v>402.40175000000062</v>
      </c>
      <c r="J147" s="59"/>
    </row>
    <row r="148" spans="1:13" x14ac:dyDescent="0.3">
      <c r="A148" s="104"/>
      <c r="C148" s="108"/>
      <c r="D148" s="7" t="s">
        <v>26</v>
      </c>
      <c r="E148" s="10">
        <v>331.8929999999981</v>
      </c>
      <c r="F148" s="10">
        <v>332.15899999999971</v>
      </c>
      <c r="G148" s="10">
        <v>297.26399999999961</v>
      </c>
      <c r="H148" s="10">
        <v>264.64899999999977</v>
      </c>
      <c r="I148" s="10">
        <v>359.41500000000053</v>
      </c>
      <c r="J148" s="59"/>
    </row>
    <row r="149" spans="1:13" x14ac:dyDescent="0.3">
      <c r="A149" s="104"/>
      <c r="C149" s="108"/>
      <c r="D149" s="5" t="s">
        <v>27</v>
      </c>
      <c r="E149" s="9">
        <v>284.32400000000041</v>
      </c>
      <c r="F149" s="9">
        <v>280.62700000000035</v>
      </c>
      <c r="G149" s="9">
        <v>267.39400000000018</v>
      </c>
      <c r="H149" s="9">
        <v>222.5064999999999</v>
      </c>
      <c r="I149" s="9">
        <v>316.90350000000024</v>
      </c>
      <c r="J149" s="59"/>
    </row>
    <row r="150" spans="1:13" x14ac:dyDescent="0.3">
      <c r="A150" s="104"/>
      <c r="C150" s="108"/>
      <c r="D150" s="7" t="s">
        <v>28</v>
      </c>
      <c r="E150" s="8">
        <v>250.64319999999915</v>
      </c>
      <c r="F150" s="8">
        <v>234.33999999999912</v>
      </c>
      <c r="G150" s="8">
        <v>224.8495999999997</v>
      </c>
      <c r="H150" s="8">
        <v>184.28739999999988</v>
      </c>
      <c r="I150" s="8">
        <v>255.98830000000041</v>
      </c>
      <c r="J150" s="59"/>
    </row>
    <row r="151" spans="1:13" x14ac:dyDescent="0.3">
      <c r="A151" s="104"/>
      <c r="C151" s="59"/>
      <c r="D151" s="60"/>
      <c r="E151" s="59"/>
      <c r="F151" s="59"/>
      <c r="G151" s="59"/>
      <c r="H151" s="59"/>
      <c r="I151" s="59"/>
      <c r="J151" s="59"/>
      <c r="K151" s="59"/>
      <c r="L151" s="59"/>
      <c r="M151" s="59"/>
    </row>
    <row r="152" spans="1:13" x14ac:dyDescent="0.3">
      <c r="A152" s="104"/>
      <c r="C152" s="59"/>
      <c r="D152" s="60"/>
      <c r="E152" s="59"/>
      <c r="F152" s="59"/>
      <c r="G152" s="59"/>
      <c r="H152" s="59"/>
      <c r="I152" s="59"/>
      <c r="J152" s="59"/>
      <c r="K152" s="59"/>
      <c r="L152" s="59"/>
      <c r="M152" s="59"/>
    </row>
    <row r="153" spans="1:13" x14ac:dyDescent="0.3">
      <c r="K153" s="59"/>
      <c r="L153" s="59"/>
    </row>
    <row r="154" spans="1:13" x14ac:dyDescent="0.3">
      <c r="K154" s="59"/>
      <c r="L154" s="59"/>
    </row>
  </sheetData>
  <sheetProtection sheet="1" formatCells="0" formatColumns="0" insertColumns="0" insertRows="0" insertHyperlinks="0" deleteColumns="0" deleteRows="0" sort="0" autoFilter="0" pivotTables="0"/>
  <mergeCells count="54">
    <mergeCell ref="D5:K5"/>
    <mergeCell ref="L5:M5"/>
    <mergeCell ref="D7:K7"/>
    <mergeCell ref="L7:M7"/>
    <mergeCell ref="C61:C65"/>
    <mergeCell ref="C56:D56"/>
    <mergeCell ref="C14:D14"/>
    <mergeCell ref="C55:M55"/>
    <mergeCell ref="C13:M13"/>
    <mergeCell ref="D9:K9"/>
    <mergeCell ref="D10:K10"/>
    <mergeCell ref="D11:K11"/>
    <mergeCell ref="D6:K6"/>
    <mergeCell ref="C1:M1"/>
    <mergeCell ref="C132:M132"/>
    <mergeCell ref="D2:K2"/>
    <mergeCell ref="A88:A110"/>
    <mergeCell ref="A111:A131"/>
    <mergeCell ref="A132:A152"/>
    <mergeCell ref="E90:F90"/>
    <mergeCell ref="C89:D89"/>
    <mergeCell ref="C88:M88"/>
    <mergeCell ref="C96:C100"/>
    <mergeCell ref="C104:C108"/>
    <mergeCell ref="I90:J90"/>
    <mergeCell ref="E94:F94"/>
    <mergeCell ref="E102:F102"/>
    <mergeCell ref="G94:H94"/>
    <mergeCell ref="G102:H102"/>
    <mergeCell ref="I94:J94"/>
    <mergeCell ref="G90:H90"/>
    <mergeCell ref="I102:J102"/>
    <mergeCell ref="C125:C129"/>
    <mergeCell ref="C117:C122"/>
    <mergeCell ref="C139:C143"/>
    <mergeCell ref="C111:M111"/>
    <mergeCell ref="C112:D112"/>
    <mergeCell ref="C133:D133"/>
    <mergeCell ref="C146:C150"/>
    <mergeCell ref="A75:A87"/>
    <mergeCell ref="C75:M75"/>
    <mergeCell ref="C76:D76"/>
    <mergeCell ref="C81:C85"/>
    <mergeCell ref="D8:K8"/>
    <mergeCell ref="A13:A34"/>
    <mergeCell ref="A55:A74"/>
    <mergeCell ref="C21:C25"/>
    <mergeCell ref="C28:C32"/>
    <mergeCell ref="C68:C72"/>
    <mergeCell ref="A35:A54"/>
    <mergeCell ref="C35:M35"/>
    <mergeCell ref="C36:D36"/>
    <mergeCell ref="C41:C45"/>
    <mergeCell ref="C48:C52"/>
  </mergeCells>
  <phoneticPr fontId="13" type="noConversion"/>
  <hyperlinks>
    <hyperlink ref="D5" location="OMR!A20" display="OMR!A20" xr:uid="{00000000-0004-0000-0200-000000000000}"/>
    <hyperlink ref="D11" location="OMR!A115" display="OMR!A115" xr:uid="{00000000-0004-0000-0200-000001000000}"/>
    <hyperlink ref="D10" location="OMR!A95" display="OMR!A95" xr:uid="{00000000-0004-0000-0200-000002000000}"/>
    <hyperlink ref="D7" location="OMR!A51" display="OMR!A51" xr:uid="{00000000-0004-0000-0200-000003000000}"/>
    <hyperlink ref="D9" location="OMR!A83" display="OMR!A83" xr:uid="{00000000-0004-0000-0200-000004000000}"/>
    <hyperlink ref="D2" location="Sommaire!A1" display="Retour sommaire annexe" xr:uid="{00000000-0004-0000-0200-00000B000000}"/>
    <hyperlink ref="C14" location="OMR!A1" display="Retour sommaire fiche" xr:uid="{00000000-0004-0000-0200-00000C000000}"/>
    <hyperlink ref="C56" location="OMR!A1" display="Retour sommaire fiche" xr:uid="{00000000-0004-0000-0200-00000D000000}"/>
    <hyperlink ref="C89" location="OMR!A1" display="Retour sommaire fiche" xr:uid="{00000000-0004-0000-0200-00000E000000}"/>
    <hyperlink ref="C112" location="OMR!A1" display="Retour sommaire fiche" xr:uid="{00000000-0004-0000-0200-00000F000000}"/>
    <hyperlink ref="C133" location="OMR!A1" display="Retour sommaire fiche" xr:uid="{00000000-0004-0000-0200-000010000000}"/>
    <hyperlink ref="D7:G7" location="OMR!A46" display="Tableau 11 - Montant des charges des OMR par étape technique" xr:uid="{2E61E246-2CD7-40CE-BD12-E25AF231C6AE}"/>
    <hyperlink ref="D5:G5" location="OMR!A23" display="Tableau 10 - Coûts de synthèse des OMR" xr:uid="{DAA88C09-F655-4F95-AD2A-B7652CBDABF0}"/>
    <hyperlink ref="D9:G9" location="OMR!A87" display="Tableau 13 - Produits des OMR par nature" xr:uid="{FE806B86-5519-4DF9-A12F-70FC53C42404}"/>
    <hyperlink ref="D10:G10" location="OMR!A110" display="Tableau 13 - Evolution du coût aidé HT des OMR" xr:uid="{2B3D7A5B-0114-4426-BECE-08E757C310F2}"/>
    <hyperlink ref="D11:G11" location="OMR!A130" display="Tableau 14 - Coûts aidés HT des OMR selon la typologie d'habitat" xr:uid="{1570C8E2-7A28-4350-8103-5DE7BEB270E3}"/>
    <hyperlink ref="D5:K5" location="OMR!A13" display="OMR - Coûts de synthèse" xr:uid="{0BBC6F9A-475F-44FB-BB13-0D74EE792735}"/>
    <hyperlink ref="D7:K7" location="OMR!A55" display="OMR - Charges par étape technique" xr:uid="{4FDDF047-A9AC-482D-9944-C7B4D3CF56B2}"/>
    <hyperlink ref="D9:K9" location="OMR!A88" display="OMR - Produits par nature" xr:uid="{4FD6ADB6-7337-458A-93A6-C0BF83F75108}"/>
    <hyperlink ref="D10:K10" location="OMR!A111" display="OMR - Évolution du coût aidé HT" xr:uid="{1ABF06CD-D780-490C-B567-D37437DD9D1F}"/>
    <hyperlink ref="D11:K11" location="OMR!A132" display="OMR - Coût aidé HT et la typologie d'habitat" xr:uid="{95D89577-3255-46EA-8257-0E070D382892}"/>
    <hyperlink ref="C36" location="OMR!A1" display="Retour sommaire fiche" xr:uid="{5ECAE72C-F53D-4DD5-8574-F591BCE9E584}"/>
    <hyperlink ref="D6" location="OMR!A20" display="OMR!A20" xr:uid="{A47B7FDA-12FE-443F-8A30-8708D6CF420C}"/>
    <hyperlink ref="D6:G6" location="OMR!A23" display="Tableau 10 - Coûts de synthèse des OMR" xr:uid="{54494086-3628-4E04-ACFF-53C0B6983885}"/>
    <hyperlink ref="D6:K6" location="OMR!A35" display="OMR - Coûts de synthèse pour les collectivités ayant comme mode principal de traitement l’incinération" xr:uid="{A9F8C378-35CF-4204-92AD-C49EC0FC947E}"/>
    <hyperlink ref="C76" location="OMR!A1" display="Retour sommaire fiche" xr:uid="{45138FA3-4896-4F0B-B913-64E3A3380FB0}"/>
    <hyperlink ref="D8" location="OMR!A51" display="OMR!A51" xr:uid="{542A0D29-4DD0-47DA-BCDE-B29051A146D7}"/>
    <hyperlink ref="D8:G8" location="OMR!A46" display="Tableau 11 - Montant des charges des OMR par étape technique" xr:uid="{05887F13-A115-4B6A-952A-14C131829943}"/>
    <hyperlink ref="D8:K8" location="OMR!A75" display="OMR - Charges de traitement selon le mode de traitement" xr:uid="{7A651697-DE56-4425-95B9-488D6980BF44}"/>
  </hyperlinks>
  <pageMargins left="0.70866141732283472" right="0.70866141732283472" top="0.74803149606299213" bottom="0.74803149606299213" header="0.31496062992125984" footer="0.31496062992125984"/>
  <pageSetup paperSize="9" scale="59" fitToHeight="10" orientation="portrait" r:id="rId1"/>
  <rowBreaks count="1" manualBreakCount="1">
    <brk id="131" min="2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00"/>
  <sheetViews>
    <sheetView showGridLines="0" topLeftCell="C1" zoomScaleNormal="100" workbookViewId="0">
      <selection activeCell="D121" sqref="D121"/>
    </sheetView>
  </sheetViews>
  <sheetFormatPr baseColWidth="10" defaultColWidth="11.44140625" defaultRowHeight="14.4" x14ac:dyDescent="0.3"/>
  <cols>
    <col min="1" max="2" width="11.44140625" hidden="1" customWidth="1"/>
    <col min="3" max="3" width="3.33203125" customWidth="1"/>
    <col min="4" max="4" width="25.33203125" style="1" bestFit="1" customWidth="1"/>
    <col min="5" max="18" width="16.6640625" customWidth="1"/>
  </cols>
  <sheetData>
    <row r="1" spans="1:13" ht="18" x14ac:dyDescent="0.35">
      <c r="C1" s="81" t="s">
        <v>0</v>
      </c>
      <c r="D1" s="81"/>
      <c r="E1" s="81"/>
      <c r="F1" s="81"/>
      <c r="G1" s="81"/>
      <c r="H1" s="81"/>
      <c r="I1" s="81"/>
      <c r="J1" s="81"/>
      <c r="K1" s="81"/>
    </row>
    <row r="2" spans="1:13" x14ac:dyDescent="0.3">
      <c r="C2" s="59"/>
      <c r="D2" s="99" t="s">
        <v>12</v>
      </c>
      <c r="E2" s="99"/>
      <c r="F2" s="99"/>
      <c r="G2" s="99"/>
      <c r="H2" s="99"/>
      <c r="I2" s="99"/>
      <c r="J2" s="99"/>
      <c r="K2" s="99"/>
      <c r="L2" s="11"/>
      <c r="M2" s="59"/>
    </row>
    <row r="3" spans="1:13" x14ac:dyDescent="0.3">
      <c r="C3" s="59"/>
      <c r="D3" s="60"/>
      <c r="E3" s="59"/>
      <c r="F3" s="59"/>
      <c r="G3" s="59"/>
    </row>
    <row r="4" spans="1:13" x14ac:dyDescent="0.3">
      <c r="C4" s="59"/>
      <c r="D4" s="60"/>
      <c r="E4" s="59"/>
      <c r="F4" s="59"/>
      <c r="G4" s="59"/>
    </row>
    <row r="5" spans="1:13" x14ac:dyDescent="0.3">
      <c r="C5" s="59"/>
      <c r="D5" s="99" t="s">
        <v>67</v>
      </c>
      <c r="E5" s="99"/>
      <c r="F5" s="99"/>
      <c r="G5" s="99"/>
      <c r="H5" s="99"/>
      <c r="I5" s="99"/>
      <c r="J5" s="99"/>
      <c r="K5" s="99"/>
      <c r="L5" s="11"/>
      <c r="M5" s="59"/>
    </row>
    <row r="6" spans="1:13" x14ac:dyDescent="0.3">
      <c r="C6" s="59"/>
      <c r="D6" s="99" t="s">
        <v>68</v>
      </c>
      <c r="E6" s="99"/>
      <c r="F6" s="99"/>
      <c r="G6" s="99"/>
      <c r="H6" s="99"/>
      <c r="I6" s="99"/>
      <c r="J6" s="99"/>
      <c r="K6" s="99"/>
      <c r="L6" s="11"/>
      <c r="M6" s="59"/>
    </row>
    <row r="7" spans="1:13" x14ac:dyDescent="0.3">
      <c r="C7" s="59"/>
      <c r="D7" s="99" t="s">
        <v>69</v>
      </c>
      <c r="E7" s="99"/>
      <c r="F7" s="99"/>
      <c r="G7" s="99"/>
      <c r="H7" s="99"/>
      <c r="I7" s="99"/>
      <c r="J7" s="99"/>
      <c r="K7" s="99"/>
      <c r="L7" s="11"/>
      <c r="M7" s="59"/>
    </row>
    <row r="8" spans="1:13" x14ac:dyDescent="0.3">
      <c r="C8" s="59"/>
      <c r="D8" s="99" t="s">
        <v>70</v>
      </c>
      <c r="E8" s="99"/>
      <c r="F8" s="99"/>
      <c r="G8" s="99"/>
      <c r="H8" s="99"/>
      <c r="I8" s="99"/>
      <c r="J8" s="99"/>
      <c r="K8" s="99"/>
      <c r="L8" s="11"/>
      <c r="M8" s="59"/>
    </row>
    <row r="9" spans="1:13" x14ac:dyDescent="0.3">
      <c r="C9" s="59"/>
      <c r="D9" s="99" t="s">
        <v>71</v>
      </c>
      <c r="E9" s="99"/>
      <c r="F9" s="99"/>
      <c r="G9" s="99"/>
      <c r="H9" s="99"/>
      <c r="I9" s="99"/>
      <c r="J9" s="99"/>
      <c r="K9" s="99"/>
      <c r="L9" s="11"/>
      <c r="M9" s="59"/>
    </row>
    <row r="10" spans="1:13" x14ac:dyDescent="0.3">
      <c r="C10" s="59"/>
      <c r="D10" s="99" t="s">
        <v>72</v>
      </c>
      <c r="E10" s="99"/>
      <c r="F10" s="99"/>
      <c r="G10" s="99"/>
      <c r="H10" s="99"/>
      <c r="I10" s="99"/>
      <c r="J10" s="99"/>
      <c r="K10" s="99"/>
      <c r="L10" s="11"/>
      <c r="M10" s="59"/>
    </row>
    <row r="11" spans="1:13" x14ac:dyDescent="0.3">
      <c r="C11" s="59"/>
      <c r="D11" s="99" t="s">
        <v>73</v>
      </c>
      <c r="E11" s="99"/>
      <c r="F11" s="99"/>
      <c r="G11" s="99"/>
      <c r="H11" s="99"/>
      <c r="I11" s="99"/>
      <c r="J11" s="99"/>
      <c r="K11" s="99"/>
      <c r="L11" s="11"/>
      <c r="M11" s="59"/>
    </row>
    <row r="12" spans="1:13" x14ac:dyDescent="0.3">
      <c r="C12" s="59"/>
      <c r="D12" s="99" t="s">
        <v>74</v>
      </c>
      <c r="E12" s="99"/>
      <c r="F12" s="99"/>
      <c r="G12" s="99"/>
      <c r="H12" s="99"/>
      <c r="I12" s="99"/>
      <c r="J12" s="99"/>
      <c r="K12" s="99"/>
      <c r="L12" s="11"/>
      <c r="M12" s="59"/>
    </row>
    <row r="13" spans="1:13" x14ac:dyDescent="0.3">
      <c r="C13" s="59"/>
      <c r="D13" s="99" t="s">
        <v>75</v>
      </c>
      <c r="E13" s="99"/>
      <c r="F13" s="99"/>
      <c r="G13" s="99"/>
      <c r="H13" s="99"/>
      <c r="I13" s="99"/>
      <c r="J13" s="99"/>
      <c r="K13" s="99"/>
      <c r="L13" s="11"/>
      <c r="M13" s="59"/>
    </row>
    <row r="14" spans="1:13" x14ac:dyDescent="0.3">
      <c r="C14" s="59"/>
      <c r="D14"/>
      <c r="L14" s="11"/>
      <c r="M14" s="59"/>
    </row>
    <row r="15" spans="1:13" x14ac:dyDescent="0.3">
      <c r="C15" s="59"/>
      <c r="D15" s="60"/>
      <c r="E15" s="59"/>
      <c r="F15" s="59"/>
      <c r="G15" s="59"/>
    </row>
    <row r="16" spans="1:13" ht="18" x14ac:dyDescent="0.35">
      <c r="A16" s="104"/>
      <c r="C16" s="81" t="str">
        <f>D5</f>
        <v>Emballages verre - Coûts de synthèse</v>
      </c>
      <c r="D16" s="81"/>
      <c r="E16" s="81"/>
      <c r="F16" s="81"/>
      <c r="G16" s="81"/>
      <c r="H16" s="81"/>
      <c r="I16" s="81"/>
      <c r="J16" s="81"/>
      <c r="K16" s="81"/>
    </row>
    <row r="17" spans="1:14" x14ac:dyDescent="0.3">
      <c r="A17" s="104"/>
      <c r="C17" s="106" t="s">
        <v>35</v>
      </c>
      <c r="D17" s="106"/>
      <c r="E17" s="59"/>
      <c r="F17" s="59"/>
      <c r="G17" s="59"/>
      <c r="H17" s="59"/>
      <c r="I17" s="59"/>
      <c r="J17" s="59"/>
      <c r="K17" s="59"/>
    </row>
    <row r="18" spans="1:14" x14ac:dyDescent="0.3">
      <c r="A18" s="104"/>
      <c r="C18" s="59"/>
      <c r="D18" s="59"/>
      <c r="E18" s="2" t="s">
        <v>19</v>
      </c>
      <c r="F18" s="2" t="s">
        <v>20</v>
      </c>
      <c r="G18" s="2" t="s">
        <v>21</v>
      </c>
      <c r="H18" s="2" t="s">
        <v>22</v>
      </c>
      <c r="I18" s="59"/>
      <c r="J18" s="59"/>
      <c r="K18" s="59"/>
    </row>
    <row r="19" spans="1:14" x14ac:dyDescent="0.3">
      <c r="A19" s="104"/>
      <c r="C19" s="59"/>
      <c r="D19" s="3" t="s">
        <v>36</v>
      </c>
      <c r="E19" s="4">
        <v>443</v>
      </c>
      <c r="F19" s="4">
        <v>597</v>
      </c>
      <c r="G19" s="4">
        <f>F19</f>
        <v>597</v>
      </c>
      <c r="H19" s="4">
        <f>F19</f>
        <v>597</v>
      </c>
      <c r="I19" s="59"/>
      <c r="J19" s="59"/>
      <c r="K19" s="59"/>
    </row>
    <row r="20" spans="1:14" x14ac:dyDescent="0.3">
      <c r="A20" s="104"/>
      <c r="C20" s="59"/>
      <c r="D20" s="3" t="s">
        <v>37</v>
      </c>
      <c r="E20" s="79">
        <v>23188175</v>
      </c>
      <c r="F20" s="79">
        <v>36422353</v>
      </c>
      <c r="G20" s="79">
        <f>F20</f>
        <v>36422353</v>
      </c>
      <c r="H20" s="79">
        <f>F20</f>
        <v>36422353</v>
      </c>
      <c r="I20" s="59"/>
      <c r="J20" s="59"/>
      <c r="K20" s="59"/>
    </row>
    <row r="21" spans="1:14" x14ac:dyDescent="0.3">
      <c r="A21" s="104"/>
      <c r="C21" s="59"/>
      <c r="D21" s="3" t="s">
        <v>38</v>
      </c>
      <c r="E21" s="71">
        <v>35.012971692317713</v>
      </c>
      <c r="F21" s="71">
        <v>34.624674162181449</v>
      </c>
      <c r="G21" s="71">
        <f>F21</f>
        <v>34.624674162181449</v>
      </c>
      <c r="H21" s="71">
        <f>F21</f>
        <v>34.624674162181449</v>
      </c>
      <c r="I21" s="59"/>
      <c r="J21" s="59"/>
      <c r="K21" s="59"/>
    </row>
    <row r="22" spans="1:14" x14ac:dyDescent="0.3">
      <c r="A22" s="104"/>
      <c r="C22" s="59"/>
      <c r="D22" s="60"/>
      <c r="E22" s="59"/>
      <c r="F22" s="59"/>
      <c r="G22" s="59"/>
      <c r="H22" s="59"/>
      <c r="I22" s="59"/>
      <c r="J22" s="59"/>
      <c r="K22" s="59"/>
    </row>
    <row r="23" spans="1:14" x14ac:dyDescent="0.3">
      <c r="A23" s="104"/>
      <c r="C23" s="59"/>
      <c r="D23" s="59"/>
      <c r="E23" s="2" t="s">
        <v>19</v>
      </c>
      <c r="F23" s="2" t="s">
        <v>20</v>
      </c>
      <c r="G23" s="2" t="s">
        <v>21</v>
      </c>
      <c r="H23" s="2" t="s">
        <v>22</v>
      </c>
      <c r="I23" s="59"/>
      <c r="J23" s="59"/>
      <c r="K23" s="59"/>
    </row>
    <row r="24" spans="1:14" x14ac:dyDescent="0.3">
      <c r="A24" s="104"/>
      <c r="C24" s="107" t="s">
        <v>39</v>
      </c>
      <c r="D24" s="17" t="s">
        <v>23</v>
      </c>
      <c r="E24" s="33">
        <v>6.6784000000000008</v>
      </c>
      <c r="F24" s="33">
        <v>5.4134000000000011</v>
      </c>
      <c r="G24" s="33">
        <v>4.9920000000000009</v>
      </c>
      <c r="H24" s="33">
        <v>4.8740000000000041</v>
      </c>
      <c r="I24" s="59"/>
      <c r="J24" s="59"/>
      <c r="K24" s="59"/>
    </row>
    <row r="25" spans="1:14" x14ac:dyDescent="0.3">
      <c r="A25" s="104"/>
      <c r="C25" s="107"/>
      <c r="D25" s="16" t="s">
        <v>24</v>
      </c>
      <c r="E25" s="34">
        <v>4.7510000000000003</v>
      </c>
      <c r="F25" s="34">
        <v>3.6225000000000001</v>
      </c>
      <c r="G25" s="34">
        <v>3.1260000000000003</v>
      </c>
      <c r="H25" s="34">
        <v>3.0455000000000001</v>
      </c>
      <c r="I25" s="59"/>
      <c r="J25" s="59"/>
      <c r="K25" s="59"/>
    </row>
    <row r="26" spans="1:14" ht="18" customHeight="1" x14ac:dyDescent="0.3">
      <c r="A26" s="104"/>
      <c r="C26" s="107"/>
      <c r="D26" s="35" t="s">
        <v>25</v>
      </c>
      <c r="E26" s="33">
        <v>3.6161305661639922</v>
      </c>
      <c r="F26" s="33">
        <v>2.7376355903248877</v>
      </c>
      <c r="G26" s="33">
        <v>2.3492468381960112</v>
      </c>
      <c r="H26" s="33">
        <v>2.311280474424358</v>
      </c>
      <c r="I26" s="59"/>
      <c r="J26" s="59"/>
      <c r="K26" s="59"/>
    </row>
    <row r="27" spans="1:14" x14ac:dyDescent="0.3">
      <c r="A27" s="104"/>
      <c r="C27" s="107"/>
      <c r="D27" s="16" t="s">
        <v>27</v>
      </c>
      <c r="E27" s="34">
        <v>2.7909999999999999</v>
      </c>
      <c r="F27" s="34">
        <v>1.7115</v>
      </c>
      <c r="G27" s="34">
        <v>1.258</v>
      </c>
      <c r="H27" s="34">
        <v>1.25</v>
      </c>
      <c r="I27" s="59"/>
      <c r="J27" s="59"/>
      <c r="K27" s="59"/>
    </row>
    <row r="28" spans="1:14" x14ac:dyDescent="0.3">
      <c r="A28" s="104"/>
      <c r="C28" s="107"/>
      <c r="D28" s="17" t="s">
        <v>28</v>
      </c>
      <c r="E28" s="33">
        <v>2.2999999999999998</v>
      </c>
      <c r="F28" s="33">
        <v>1.2692000000000001</v>
      </c>
      <c r="G28" s="33">
        <v>0.80940000000000012</v>
      </c>
      <c r="H28" s="33">
        <v>0.77580000000000005</v>
      </c>
      <c r="I28" s="59"/>
      <c r="J28" s="59"/>
      <c r="K28" s="59"/>
    </row>
    <row r="29" spans="1:14" x14ac:dyDescent="0.3">
      <c r="A29" s="104"/>
      <c r="C29" s="59"/>
      <c r="D29" s="59"/>
      <c r="E29" s="61"/>
      <c r="F29" s="61"/>
      <c r="G29" s="61"/>
      <c r="H29" s="61"/>
      <c r="I29" s="59"/>
      <c r="J29" s="59"/>
      <c r="K29" s="59"/>
    </row>
    <row r="30" spans="1:14" x14ac:dyDescent="0.3">
      <c r="A30" s="104"/>
      <c r="C30" s="59"/>
      <c r="D30" s="59"/>
      <c r="E30" s="2" t="s">
        <v>19</v>
      </c>
      <c r="F30" s="2" t="s">
        <v>20</v>
      </c>
      <c r="G30" s="2" t="s">
        <v>21</v>
      </c>
      <c r="H30" s="2" t="s">
        <v>22</v>
      </c>
      <c r="I30" s="59"/>
      <c r="J30" s="59"/>
      <c r="K30" s="59"/>
    </row>
    <row r="31" spans="1:14" x14ac:dyDescent="0.3">
      <c r="A31" s="104"/>
      <c r="C31" s="108" t="s">
        <v>40</v>
      </c>
      <c r="D31" s="7" t="s">
        <v>23</v>
      </c>
      <c r="E31" s="8">
        <v>146.798</v>
      </c>
      <c r="F31" s="8">
        <v>126.063</v>
      </c>
      <c r="G31" s="8">
        <v>114.52300000000007</v>
      </c>
      <c r="H31" s="8">
        <v>113.40500000000003</v>
      </c>
      <c r="I31" s="59"/>
      <c r="J31" s="59"/>
      <c r="K31" s="73"/>
      <c r="L31" s="73"/>
      <c r="M31" s="73"/>
      <c r="N31" s="73"/>
    </row>
    <row r="32" spans="1:14" x14ac:dyDescent="0.3">
      <c r="A32" s="104"/>
      <c r="C32" s="108"/>
      <c r="D32" s="5" t="s">
        <v>24</v>
      </c>
      <c r="E32" s="9">
        <v>110.98099999999999</v>
      </c>
      <c r="F32" s="9">
        <v>85.316000000000003</v>
      </c>
      <c r="G32" s="9">
        <v>74.349999999999994</v>
      </c>
      <c r="H32" s="9">
        <v>73.043499999999995</v>
      </c>
      <c r="I32" s="59"/>
      <c r="J32" s="59"/>
      <c r="K32" s="73"/>
      <c r="L32" s="73"/>
      <c r="M32" s="73"/>
      <c r="N32" s="73"/>
    </row>
    <row r="33" spans="1:14" x14ac:dyDescent="0.3">
      <c r="A33" s="104"/>
      <c r="C33" s="108"/>
      <c r="D33" s="7" t="s">
        <v>25</v>
      </c>
      <c r="E33" s="8">
        <v>101.60515589761452</v>
      </c>
      <c r="F33" s="8">
        <v>77.769096640684523</v>
      </c>
      <c r="G33" s="8">
        <v>66.55321272161089</v>
      </c>
      <c r="H33" s="8">
        <v>65.456187458435352</v>
      </c>
      <c r="I33" s="59"/>
      <c r="J33" s="59"/>
      <c r="K33" s="73"/>
      <c r="L33" s="73"/>
      <c r="M33" s="73"/>
      <c r="N33" s="73"/>
    </row>
    <row r="34" spans="1:14" x14ac:dyDescent="0.3">
      <c r="A34" s="104"/>
      <c r="C34" s="108"/>
      <c r="D34" s="5" t="s">
        <v>27</v>
      </c>
      <c r="E34" s="9">
        <v>69.608000000000004</v>
      </c>
      <c r="F34" s="9">
        <v>41.133499999999998</v>
      </c>
      <c r="G34" s="9">
        <v>30.206499999999998</v>
      </c>
      <c r="H34" s="9">
        <v>29.72</v>
      </c>
      <c r="I34" s="59"/>
      <c r="J34" s="59"/>
      <c r="K34" s="73"/>
      <c r="L34" s="73"/>
      <c r="M34" s="73"/>
      <c r="N34" s="73"/>
    </row>
    <row r="35" spans="1:14" x14ac:dyDescent="0.3">
      <c r="A35" s="104"/>
      <c r="C35" s="108"/>
      <c r="D35" s="7" t="s">
        <v>28</v>
      </c>
      <c r="E35" s="8">
        <v>58.744199999999999</v>
      </c>
      <c r="F35" s="8">
        <v>31.2182</v>
      </c>
      <c r="G35" s="8">
        <v>19.602200000000003</v>
      </c>
      <c r="H35" s="8">
        <v>18.834200000000003</v>
      </c>
      <c r="I35" s="59"/>
      <c r="J35" s="59"/>
      <c r="K35" s="73"/>
      <c r="L35" s="73"/>
      <c r="M35" s="73"/>
      <c r="N35" s="73"/>
    </row>
    <row r="36" spans="1:14" x14ac:dyDescent="0.3">
      <c r="A36" s="104"/>
      <c r="C36" s="59"/>
      <c r="D36" s="60"/>
      <c r="E36" s="59"/>
      <c r="F36" s="59"/>
      <c r="G36" s="59"/>
      <c r="H36" s="59"/>
      <c r="I36" s="59"/>
      <c r="J36" s="59"/>
      <c r="K36" s="59"/>
    </row>
    <row r="37" spans="1:14" x14ac:dyDescent="0.3">
      <c r="A37" s="104"/>
      <c r="C37" s="59"/>
      <c r="D37" s="60"/>
      <c r="E37" s="59"/>
      <c r="F37" s="59"/>
      <c r="G37" s="59"/>
      <c r="H37" s="59"/>
      <c r="I37" s="59"/>
      <c r="J37" s="59"/>
      <c r="K37" s="59"/>
    </row>
    <row r="38" spans="1:14" ht="18" x14ac:dyDescent="0.35">
      <c r="A38" s="104"/>
      <c r="C38" s="81" t="str">
        <f>D6</f>
        <v>Emballages verre - Charges par étape technique</v>
      </c>
      <c r="D38" s="81"/>
      <c r="E38" s="81"/>
      <c r="F38" s="81"/>
      <c r="G38" s="81"/>
      <c r="H38" s="81"/>
      <c r="I38" s="81"/>
      <c r="J38" s="81"/>
      <c r="K38" s="81"/>
    </row>
    <row r="39" spans="1:14" x14ac:dyDescent="0.3">
      <c r="A39" s="104"/>
      <c r="C39" s="106" t="s">
        <v>35</v>
      </c>
      <c r="D39" s="106"/>
      <c r="E39" s="59"/>
      <c r="F39" s="59"/>
      <c r="G39" s="59"/>
      <c r="H39" s="59"/>
      <c r="I39" s="59"/>
      <c r="J39" s="59"/>
      <c r="K39" s="59"/>
    </row>
    <row r="40" spans="1:14" x14ac:dyDescent="0.3">
      <c r="A40" s="104"/>
      <c r="C40" s="59"/>
      <c r="D40" s="59"/>
      <c r="E40" s="2" t="s">
        <v>55</v>
      </c>
      <c r="F40" s="2" t="s">
        <v>56</v>
      </c>
      <c r="G40" s="59"/>
      <c r="H40" s="59"/>
      <c r="I40" s="59"/>
      <c r="J40" s="59"/>
      <c r="K40" s="59"/>
    </row>
    <row r="41" spans="1:14" x14ac:dyDescent="0.3">
      <c r="A41" s="104"/>
      <c r="C41" s="59"/>
      <c r="D41" s="3" t="s">
        <v>36</v>
      </c>
      <c r="E41" s="4">
        <v>691</v>
      </c>
      <c r="F41" s="4">
        <v>683</v>
      </c>
      <c r="G41" s="59"/>
      <c r="H41" s="59"/>
      <c r="I41" s="59"/>
      <c r="J41" s="59"/>
      <c r="K41" s="59"/>
    </row>
    <row r="42" spans="1:14" x14ac:dyDescent="0.3">
      <c r="A42" s="104"/>
      <c r="C42" s="59"/>
      <c r="D42" s="60"/>
      <c r="E42" s="59"/>
      <c r="F42" s="59"/>
      <c r="G42" s="59"/>
      <c r="H42" s="59"/>
      <c r="I42" s="59"/>
      <c r="J42" s="59"/>
      <c r="K42" s="59"/>
    </row>
    <row r="43" spans="1:14" x14ac:dyDescent="0.3">
      <c r="A43" s="104"/>
      <c r="C43" s="59"/>
      <c r="D43" s="59"/>
      <c r="E43" s="2" t="s">
        <v>55</v>
      </c>
      <c r="F43" s="2" t="s">
        <v>56</v>
      </c>
      <c r="G43" s="59"/>
      <c r="H43" s="59"/>
      <c r="I43" s="59"/>
      <c r="J43" s="59"/>
      <c r="K43" s="59"/>
    </row>
    <row r="44" spans="1:14" x14ac:dyDescent="0.3">
      <c r="A44" s="104"/>
      <c r="C44" s="107" t="s">
        <v>39</v>
      </c>
      <c r="D44" s="17" t="s">
        <v>23</v>
      </c>
      <c r="E44" s="33">
        <v>1.8944000000000003</v>
      </c>
      <c r="F44" s="33">
        <v>4.5384000000000002</v>
      </c>
      <c r="G44" s="59"/>
      <c r="I44" s="59"/>
      <c r="J44" s="59"/>
      <c r="K44" s="59"/>
    </row>
    <row r="45" spans="1:14" x14ac:dyDescent="0.3">
      <c r="A45" s="104"/>
      <c r="C45" s="107"/>
      <c r="D45" s="16" t="s">
        <v>24</v>
      </c>
      <c r="E45" s="34">
        <v>1.3169999999999999</v>
      </c>
      <c r="F45" s="34">
        <v>3.2149999999999999</v>
      </c>
      <c r="G45" s="59"/>
      <c r="I45" s="59"/>
      <c r="J45" s="59"/>
      <c r="K45" s="59"/>
    </row>
    <row r="46" spans="1:14" ht="16.95" customHeight="1" x14ac:dyDescent="0.3">
      <c r="A46" s="104"/>
      <c r="C46" s="107"/>
      <c r="D46" s="35" t="s">
        <v>26</v>
      </c>
      <c r="E46" s="36">
        <v>0.621</v>
      </c>
      <c r="F46" s="36">
        <v>2.3450000000000002</v>
      </c>
      <c r="G46" s="59"/>
      <c r="I46" s="59"/>
      <c r="J46" s="59"/>
      <c r="K46" s="59"/>
    </row>
    <row r="47" spans="1:14" x14ac:dyDescent="0.3">
      <c r="A47" s="104"/>
      <c r="C47" s="107"/>
      <c r="D47" s="16" t="s">
        <v>27</v>
      </c>
      <c r="E47" s="34">
        <v>0.29099999999999998</v>
      </c>
      <c r="F47" s="34">
        <v>1.861</v>
      </c>
      <c r="G47" s="59"/>
      <c r="I47" s="59"/>
      <c r="J47" s="59"/>
      <c r="K47" s="59"/>
    </row>
    <row r="48" spans="1:14" x14ac:dyDescent="0.3">
      <c r="A48" s="104"/>
      <c r="C48" s="107"/>
      <c r="D48" s="17" t="s">
        <v>28</v>
      </c>
      <c r="E48" s="33">
        <v>0.158</v>
      </c>
      <c r="F48" s="33">
        <v>1.5269999999999999</v>
      </c>
      <c r="G48" s="59"/>
      <c r="I48" s="59"/>
      <c r="J48" s="59"/>
      <c r="K48" s="59"/>
    </row>
    <row r="49" spans="1:11" x14ac:dyDescent="0.3">
      <c r="A49" s="104"/>
      <c r="C49" s="59"/>
      <c r="D49" s="60"/>
      <c r="E49" s="59"/>
      <c r="F49" s="59"/>
      <c r="G49" s="59"/>
      <c r="H49" s="59"/>
      <c r="I49" s="59"/>
      <c r="J49" s="59"/>
      <c r="K49" s="59"/>
    </row>
    <row r="50" spans="1:11" x14ac:dyDescent="0.3">
      <c r="A50" s="104"/>
      <c r="C50" s="59"/>
      <c r="D50" s="59"/>
      <c r="E50" s="2" t="s">
        <v>55</v>
      </c>
      <c r="F50" s="2" t="s">
        <v>56</v>
      </c>
      <c r="G50" s="59"/>
      <c r="H50" s="59"/>
      <c r="I50" s="59"/>
      <c r="J50" s="59"/>
      <c r="K50" s="59"/>
    </row>
    <row r="51" spans="1:11" x14ac:dyDescent="0.3">
      <c r="A51" s="104"/>
      <c r="C51" s="108" t="s">
        <v>40</v>
      </c>
      <c r="D51" s="7" t="s">
        <v>23</v>
      </c>
      <c r="E51" s="8">
        <v>50.16680000000003</v>
      </c>
      <c r="F51" s="8">
        <v>100.46680000000001</v>
      </c>
      <c r="G51" s="59"/>
      <c r="H51" s="59"/>
      <c r="I51" s="59"/>
      <c r="J51" s="59"/>
      <c r="K51" s="59"/>
    </row>
    <row r="52" spans="1:11" x14ac:dyDescent="0.3">
      <c r="A52" s="104"/>
      <c r="C52" s="108"/>
      <c r="D52" s="5" t="s">
        <v>24</v>
      </c>
      <c r="E52" s="9">
        <v>30.414000000000001</v>
      </c>
      <c r="F52" s="9">
        <v>74.885000000000005</v>
      </c>
      <c r="G52" s="59"/>
      <c r="H52" s="59"/>
      <c r="I52" s="59"/>
      <c r="J52" s="59"/>
      <c r="K52" s="59"/>
    </row>
    <row r="53" spans="1:11" x14ac:dyDescent="0.3">
      <c r="A53" s="104"/>
      <c r="C53" s="108"/>
      <c r="D53" s="7" t="s">
        <v>26</v>
      </c>
      <c r="E53" s="10">
        <v>16.454000000000001</v>
      </c>
      <c r="F53" s="10">
        <v>59.878999999999998</v>
      </c>
      <c r="G53" s="59"/>
      <c r="H53" s="59"/>
      <c r="I53" s="59"/>
      <c r="J53" s="59"/>
      <c r="K53" s="59"/>
    </row>
    <row r="54" spans="1:11" x14ac:dyDescent="0.3">
      <c r="A54" s="104"/>
      <c r="C54" s="108"/>
      <c r="D54" s="5" t="s">
        <v>27</v>
      </c>
      <c r="E54" s="9">
        <v>7.2309999999999999</v>
      </c>
      <c r="F54" s="9">
        <v>49.225000000000001</v>
      </c>
      <c r="G54" s="59"/>
      <c r="H54" s="59"/>
      <c r="I54" s="59"/>
      <c r="J54" s="59"/>
      <c r="K54" s="59"/>
    </row>
    <row r="55" spans="1:11" x14ac:dyDescent="0.3">
      <c r="A55" s="104"/>
      <c r="C55" s="108"/>
      <c r="D55" s="7" t="s">
        <v>28</v>
      </c>
      <c r="E55" s="8">
        <v>3.8238000000000003</v>
      </c>
      <c r="F55" s="8">
        <v>39.860399999999998</v>
      </c>
      <c r="G55" s="59"/>
      <c r="H55" s="59"/>
      <c r="I55" s="59"/>
      <c r="J55" s="59"/>
      <c r="K55" s="59"/>
    </row>
    <row r="56" spans="1:11" x14ac:dyDescent="0.3">
      <c r="A56" s="104"/>
      <c r="C56" s="59"/>
      <c r="D56" s="60"/>
      <c r="E56" s="59"/>
      <c r="F56" s="59"/>
      <c r="G56" s="59"/>
      <c r="H56" s="59"/>
      <c r="I56" s="59"/>
      <c r="J56" s="59"/>
      <c r="K56" s="59"/>
    </row>
    <row r="57" spans="1:11" x14ac:dyDescent="0.3">
      <c r="A57" s="104"/>
      <c r="C57" s="59"/>
      <c r="D57" s="60"/>
      <c r="E57" s="59"/>
      <c r="F57" s="59"/>
      <c r="G57" s="59"/>
      <c r="H57" s="59"/>
      <c r="I57" s="59"/>
      <c r="J57" s="59"/>
      <c r="K57" s="59"/>
    </row>
    <row r="58" spans="1:11" ht="18" x14ac:dyDescent="0.35">
      <c r="A58" s="104"/>
      <c r="C58" s="81" t="str">
        <f>D7</f>
        <v>Emballages verre - Produits par nature</v>
      </c>
      <c r="D58" s="81"/>
      <c r="E58" s="81"/>
      <c r="F58" s="81"/>
      <c r="G58" s="81"/>
      <c r="H58" s="81"/>
      <c r="I58" s="81"/>
      <c r="J58" s="81"/>
      <c r="K58" s="81"/>
    </row>
    <row r="59" spans="1:11" x14ac:dyDescent="0.3">
      <c r="A59" s="104"/>
      <c r="C59" s="106" t="s">
        <v>35</v>
      </c>
      <c r="D59" s="106"/>
      <c r="E59" s="59"/>
      <c r="F59" s="59"/>
      <c r="G59" s="59"/>
      <c r="H59" s="59"/>
      <c r="I59" s="59"/>
      <c r="J59" s="59"/>
      <c r="K59" s="59"/>
    </row>
    <row r="60" spans="1:11" x14ac:dyDescent="0.3">
      <c r="A60" s="104"/>
      <c r="C60" s="59"/>
      <c r="D60" s="59"/>
      <c r="E60" s="18" t="s">
        <v>59</v>
      </c>
      <c r="F60" s="18" t="s">
        <v>60</v>
      </c>
      <c r="G60" s="18" t="s">
        <v>61</v>
      </c>
      <c r="H60" s="59"/>
      <c r="I60" s="59"/>
      <c r="J60" s="59"/>
      <c r="K60" s="59"/>
    </row>
    <row r="61" spans="1:11" x14ac:dyDescent="0.3">
      <c r="A61" s="104"/>
      <c r="C61" s="59"/>
      <c r="D61" s="3" t="s">
        <v>36</v>
      </c>
      <c r="E61" s="4">
        <v>694</v>
      </c>
      <c r="F61" s="4">
        <v>690</v>
      </c>
      <c r="G61" s="4">
        <v>700</v>
      </c>
      <c r="H61" s="59"/>
      <c r="I61" s="59"/>
      <c r="J61" s="59"/>
      <c r="K61" s="59"/>
    </row>
    <row r="62" spans="1:11" x14ac:dyDescent="0.3">
      <c r="A62" s="104"/>
      <c r="C62" s="59"/>
      <c r="D62" s="60"/>
      <c r="E62" s="59"/>
      <c r="F62" s="59"/>
      <c r="G62" s="59"/>
      <c r="H62" s="59"/>
      <c r="I62" s="59"/>
      <c r="J62" s="59"/>
      <c r="K62" s="59"/>
    </row>
    <row r="63" spans="1:11" x14ac:dyDescent="0.3">
      <c r="A63" s="104"/>
      <c r="C63" s="59"/>
      <c r="D63" s="59"/>
      <c r="E63" s="18" t="s">
        <v>59</v>
      </c>
      <c r="F63" s="18" t="s">
        <v>60</v>
      </c>
      <c r="G63" s="18" t="s">
        <v>61</v>
      </c>
      <c r="H63" s="59"/>
      <c r="I63" s="59"/>
      <c r="J63" s="59"/>
      <c r="K63" s="59"/>
    </row>
    <row r="64" spans="1:11" x14ac:dyDescent="0.3">
      <c r="A64" s="104"/>
      <c r="C64" s="107" t="s">
        <v>39</v>
      </c>
      <c r="D64" s="16" t="s">
        <v>23</v>
      </c>
      <c r="E64" s="28">
        <v>1.73</v>
      </c>
      <c r="F64" s="28">
        <v>0.70559999999999989</v>
      </c>
      <c r="G64" s="28">
        <v>0.19589999999999999</v>
      </c>
      <c r="H64" s="59"/>
      <c r="I64" s="59"/>
      <c r="J64" s="59"/>
      <c r="K64" s="59"/>
    </row>
    <row r="65" spans="1:13" x14ac:dyDescent="0.3">
      <c r="A65" s="104"/>
      <c r="C65" s="107"/>
      <c r="D65" s="17" t="s">
        <v>24</v>
      </c>
      <c r="E65" s="33">
        <v>1.3592500000000001</v>
      </c>
      <c r="F65" s="33">
        <v>0.54100000000000004</v>
      </c>
      <c r="G65" s="33">
        <v>3.7999999999999999E-2</v>
      </c>
      <c r="H65" s="59"/>
      <c r="I65" s="59"/>
      <c r="J65" s="59"/>
      <c r="K65" s="59"/>
    </row>
    <row r="66" spans="1:13" ht="17.399999999999999" customHeight="1" x14ac:dyDescent="0.3">
      <c r="A66" s="104"/>
      <c r="C66" s="107"/>
      <c r="D66" s="31" t="s">
        <v>26</v>
      </c>
      <c r="E66" s="34">
        <v>1.121</v>
      </c>
      <c r="F66" s="34">
        <v>0.438</v>
      </c>
      <c r="G66" s="34">
        <v>0</v>
      </c>
      <c r="H66" s="59"/>
      <c r="I66" s="59"/>
      <c r="J66" s="59"/>
      <c r="K66" s="59"/>
    </row>
    <row r="67" spans="1:13" x14ac:dyDescent="0.3">
      <c r="A67" s="104"/>
      <c r="C67" s="107"/>
      <c r="D67" s="17" t="s">
        <v>27</v>
      </c>
      <c r="E67" s="36">
        <v>0.90300000000000002</v>
      </c>
      <c r="F67" s="36">
        <v>0.34475</v>
      </c>
      <c r="G67" s="36">
        <v>0</v>
      </c>
      <c r="H67" s="59"/>
      <c r="I67" s="59"/>
      <c r="J67" s="59"/>
      <c r="K67" s="59"/>
    </row>
    <row r="68" spans="1:13" x14ac:dyDescent="0.3">
      <c r="A68" s="104"/>
      <c r="C68" s="107"/>
      <c r="D68" s="16" t="s">
        <v>28</v>
      </c>
      <c r="E68" s="34">
        <v>0.71550000000000002</v>
      </c>
      <c r="F68" s="34">
        <v>0.2641</v>
      </c>
      <c r="G68" s="34">
        <v>0</v>
      </c>
      <c r="H68" s="59"/>
      <c r="I68" s="59"/>
      <c r="J68" s="59"/>
      <c r="K68" s="59"/>
    </row>
    <row r="69" spans="1:13" x14ac:dyDescent="0.3">
      <c r="A69" s="104"/>
      <c r="C69" s="59"/>
      <c r="D69" s="60"/>
      <c r="E69" s="59"/>
      <c r="F69" s="59"/>
      <c r="G69" s="59"/>
      <c r="H69" s="59"/>
      <c r="I69" s="59"/>
      <c r="J69" s="59"/>
      <c r="K69" s="59"/>
    </row>
    <row r="70" spans="1:13" x14ac:dyDescent="0.3">
      <c r="A70" s="104"/>
      <c r="C70" s="59"/>
      <c r="D70" s="59"/>
      <c r="E70" s="18" t="s">
        <v>59</v>
      </c>
      <c r="F70" s="18" t="s">
        <v>60</v>
      </c>
      <c r="G70" s="18" t="s">
        <v>61</v>
      </c>
      <c r="H70" s="59"/>
      <c r="I70" s="59"/>
      <c r="J70" s="59"/>
      <c r="K70" s="59"/>
    </row>
    <row r="71" spans="1:13" x14ac:dyDescent="0.3">
      <c r="A71" s="104"/>
      <c r="C71" s="108" t="s">
        <v>40</v>
      </c>
      <c r="D71" s="5" t="s">
        <v>23</v>
      </c>
      <c r="E71" s="6">
        <v>34.519999999999996</v>
      </c>
      <c r="F71" s="6">
        <v>14.004200000000001</v>
      </c>
      <c r="G71" s="6">
        <v>4.8973999999999966</v>
      </c>
      <c r="H71" s="59"/>
      <c r="I71" s="59"/>
      <c r="J71" s="59"/>
      <c r="K71" s="59"/>
    </row>
    <row r="72" spans="1:13" x14ac:dyDescent="0.3">
      <c r="A72" s="104"/>
      <c r="C72" s="108"/>
      <c r="D72" s="7" t="s">
        <v>24</v>
      </c>
      <c r="E72" s="8">
        <v>30.819749999999999</v>
      </c>
      <c r="F72" s="8">
        <v>11.858499999999999</v>
      </c>
      <c r="G72" s="8">
        <v>1.0430000000000001</v>
      </c>
      <c r="H72" s="59"/>
      <c r="I72" s="59"/>
      <c r="J72" s="59"/>
      <c r="K72" s="59"/>
    </row>
    <row r="73" spans="1:13" x14ac:dyDescent="0.3">
      <c r="A73" s="104"/>
      <c r="C73" s="108"/>
      <c r="D73" s="5" t="s">
        <v>26</v>
      </c>
      <c r="E73" s="9">
        <v>28.012</v>
      </c>
      <c r="F73" s="9">
        <v>10.61</v>
      </c>
      <c r="G73" s="9">
        <v>7.4999999999999997E-3</v>
      </c>
      <c r="H73" s="59"/>
      <c r="I73" s="59"/>
      <c r="J73" s="59"/>
      <c r="K73" s="59"/>
    </row>
    <row r="74" spans="1:13" x14ac:dyDescent="0.3">
      <c r="A74" s="104"/>
      <c r="C74" s="108"/>
      <c r="D74" s="7" t="s">
        <v>27</v>
      </c>
      <c r="E74" s="10">
        <v>23.939250000000001</v>
      </c>
      <c r="F74" s="10">
        <v>9.5124999999999993</v>
      </c>
      <c r="G74" s="10">
        <v>0</v>
      </c>
      <c r="H74" s="59"/>
      <c r="I74" s="59"/>
      <c r="J74" s="59"/>
      <c r="K74" s="59"/>
    </row>
    <row r="75" spans="1:13" x14ac:dyDescent="0.3">
      <c r="A75" s="104"/>
      <c r="C75" s="108"/>
      <c r="D75" s="5" t="s">
        <v>28</v>
      </c>
      <c r="E75" s="9">
        <v>22.421500000000002</v>
      </c>
      <c r="F75" s="9">
        <v>8.1919000000000004</v>
      </c>
      <c r="G75" s="9">
        <v>0</v>
      </c>
      <c r="H75" s="59"/>
      <c r="I75" s="59"/>
      <c r="J75" s="59"/>
      <c r="K75" s="59"/>
    </row>
    <row r="76" spans="1:13" x14ac:dyDescent="0.3">
      <c r="A76" s="104"/>
      <c r="C76" s="59"/>
      <c r="D76" s="60"/>
      <c r="E76" s="59"/>
      <c r="F76" s="59"/>
      <c r="G76" s="59"/>
      <c r="H76" s="59"/>
      <c r="I76" s="59"/>
      <c r="J76" s="59"/>
      <c r="K76" s="59"/>
    </row>
    <row r="77" spans="1:13" x14ac:dyDescent="0.3">
      <c r="A77" s="104"/>
      <c r="C77" s="59"/>
      <c r="D77" s="60"/>
      <c r="E77" s="59"/>
      <c r="F77" s="59"/>
      <c r="G77" s="59"/>
      <c r="H77" s="59"/>
      <c r="I77" s="59"/>
      <c r="J77" s="59"/>
      <c r="K77" s="59"/>
    </row>
    <row r="78" spans="1:13" ht="18" x14ac:dyDescent="0.35">
      <c r="A78" s="104"/>
      <c r="C78" s="81" t="str">
        <f>D8</f>
        <v>Emballages verre - Évolution du coût aidé HT</v>
      </c>
      <c r="D78" s="81"/>
      <c r="E78" s="81"/>
      <c r="F78" s="81"/>
      <c r="G78" s="81"/>
      <c r="H78" s="81"/>
      <c r="I78" s="81"/>
      <c r="J78" s="81"/>
      <c r="K78" s="81"/>
      <c r="L78" s="81"/>
      <c r="M78" s="81"/>
    </row>
    <row r="79" spans="1:13" x14ac:dyDescent="0.3">
      <c r="A79" s="104"/>
      <c r="C79" s="106" t="s">
        <v>35</v>
      </c>
      <c r="D79" s="106"/>
      <c r="E79" s="59"/>
      <c r="F79" s="59"/>
      <c r="G79" s="59"/>
      <c r="H79" s="59"/>
      <c r="I79" s="59"/>
      <c r="J79" s="59"/>
      <c r="K79" s="59"/>
    </row>
    <row r="80" spans="1:13" x14ac:dyDescent="0.3">
      <c r="A80" s="104"/>
      <c r="C80" s="59"/>
      <c r="D80" s="59"/>
      <c r="E80" s="2">
        <v>2010</v>
      </c>
      <c r="F80" s="2">
        <v>2012</v>
      </c>
      <c r="G80" s="2">
        <v>2014</v>
      </c>
      <c r="H80" s="2">
        <v>2016</v>
      </c>
      <c r="I80" s="2">
        <v>2018</v>
      </c>
      <c r="J80" s="2">
        <v>2019</v>
      </c>
      <c r="K80" s="2">
        <v>2020</v>
      </c>
      <c r="L80" s="2">
        <v>2022</v>
      </c>
      <c r="M80" s="2">
        <v>2023</v>
      </c>
    </row>
    <row r="81" spans="1:24" x14ac:dyDescent="0.3">
      <c r="A81" s="104"/>
      <c r="D81" s="3" t="s">
        <v>36</v>
      </c>
      <c r="E81" s="13">
        <v>177</v>
      </c>
      <c r="F81" s="13">
        <v>358</v>
      </c>
      <c r="G81" s="13">
        <v>382</v>
      </c>
      <c r="H81" s="12">
        <v>351</v>
      </c>
      <c r="I81" s="12">
        <v>422</v>
      </c>
      <c r="J81" s="12">
        <v>597</v>
      </c>
      <c r="K81" s="12">
        <v>463</v>
      </c>
      <c r="L81" s="12">
        <v>648</v>
      </c>
      <c r="M81" s="12">
        <v>597</v>
      </c>
    </row>
    <row r="82" spans="1:24" x14ac:dyDescent="0.3">
      <c r="A82" s="104"/>
      <c r="C82" s="59"/>
      <c r="D82" s="60"/>
      <c r="E82" s="59"/>
      <c r="F82" s="59"/>
      <c r="G82" s="59"/>
      <c r="H82" s="59"/>
      <c r="I82" s="59"/>
      <c r="J82" s="59"/>
      <c r="K82" s="59"/>
      <c r="L82" s="59"/>
      <c r="M82" s="59"/>
    </row>
    <row r="83" spans="1:24" x14ac:dyDescent="0.3">
      <c r="A83" s="104"/>
      <c r="C83" s="59"/>
      <c r="D83" s="59"/>
      <c r="E83" s="2">
        <v>2010</v>
      </c>
      <c r="F83" s="2">
        <v>2012</v>
      </c>
      <c r="G83" s="2">
        <v>2014</v>
      </c>
      <c r="H83" s="2">
        <v>2016</v>
      </c>
      <c r="I83" s="2">
        <v>2018</v>
      </c>
      <c r="J83" s="2">
        <v>2019</v>
      </c>
      <c r="K83" s="2">
        <v>2020</v>
      </c>
      <c r="L83" s="2">
        <v>2022</v>
      </c>
      <c r="M83" s="2">
        <v>2023</v>
      </c>
    </row>
    <row r="84" spans="1:24" ht="15" customHeight="1" x14ac:dyDescent="0.3">
      <c r="A84" s="104"/>
      <c r="C84" s="107" t="s">
        <v>39</v>
      </c>
      <c r="D84" s="16" t="s">
        <v>23</v>
      </c>
      <c r="E84" s="28">
        <v>2.5370600000000003</v>
      </c>
      <c r="F84" s="28">
        <v>2.8211500000000007</v>
      </c>
      <c r="G84" s="28">
        <v>3.0632700000000002</v>
      </c>
      <c r="H84" s="28">
        <v>3.5</v>
      </c>
      <c r="I84" s="28">
        <v>3.2258499999999994</v>
      </c>
      <c r="J84" s="28">
        <v>3.5266999999999999</v>
      </c>
      <c r="K84" s="28">
        <v>3.5283200000000012</v>
      </c>
      <c r="L84" s="28">
        <v>4.5197000000000003</v>
      </c>
      <c r="M84" s="28">
        <v>4.8740000000000041</v>
      </c>
    </row>
    <row r="85" spans="1:24" x14ac:dyDescent="0.3">
      <c r="A85" s="104"/>
      <c r="C85" s="107"/>
      <c r="D85" s="17" t="s">
        <v>24</v>
      </c>
      <c r="E85" s="33">
        <v>1.5632999999999999</v>
      </c>
      <c r="F85" s="33">
        <v>1.6661250000000001</v>
      </c>
      <c r="G85" s="33">
        <v>1.8290249999999999</v>
      </c>
      <c r="H85" s="33">
        <v>2</v>
      </c>
      <c r="I85" s="33">
        <v>2.0552000000000001</v>
      </c>
      <c r="J85" s="33">
        <v>2.0478000000000001</v>
      </c>
      <c r="K85" s="33">
        <v>2.3371</v>
      </c>
      <c r="L85" s="33">
        <v>2.7822499999999999</v>
      </c>
      <c r="M85" s="33">
        <v>3.0455000000000001</v>
      </c>
    </row>
    <row r="86" spans="1:24" s="25" customFormat="1" ht="18" customHeight="1" x14ac:dyDescent="0.3">
      <c r="A86" s="104"/>
      <c r="C86" s="107"/>
      <c r="D86" s="31" t="s">
        <v>25</v>
      </c>
      <c r="E86" s="28">
        <v>1.3327413082538875</v>
      </c>
      <c r="F86" s="28">
        <v>1.611296865829914</v>
      </c>
      <c r="G86" s="28">
        <v>1.6787129523296829</v>
      </c>
      <c r="H86" s="28">
        <v>1.8</v>
      </c>
      <c r="I86" s="28">
        <v>1.770293322872162</v>
      </c>
      <c r="J86" s="28">
        <v>1.7922212059087592</v>
      </c>
      <c r="K86" s="28">
        <v>1.9314982522571889</v>
      </c>
      <c r="L86" s="28">
        <v>2.0672512233972302</v>
      </c>
      <c r="M86" s="28">
        <v>2.311280474424358</v>
      </c>
      <c r="N86"/>
      <c r="O86"/>
      <c r="P86"/>
      <c r="Q86"/>
      <c r="R86"/>
      <c r="S86"/>
      <c r="T86"/>
      <c r="U86"/>
      <c r="V86"/>
      <c r="W86"/>
      <c r="X86"/>
    </row>
    <row r="87" spans="1:24" x14ac:dyDescent="0.3">
      <c r="A87" s="104"/>
      <c r="C87" s="107"/>
      <c r="D87" s="17" t="s">
        <v>27</v>
      </c>
      <c r="E87" s="33">
        <v>0.51559999999999995</v>
      </c>
      <c r="F87" s="33">
        <v>0.66289999999999993</v>
      </c>
      <c r="G87" s="33">
        <v>0.66852500000000004</v>
      </c>
      <c r="H87" s="33">
        <v>0.7</v>
      </c>
      <c r="I87" s="33">
        <v>0.675875</v>
      </c>
      <c r="J87" s="33">
        <v>0.65639999999999998</v>
      </c>
      <c r="K87" s="33">
        <v>0.87829999999999997</v>
      </c>
      <c r="L87" s="33">
        <v>1.0972500000000001</v>
      </c>
      <c r="M87" s="33">
        <v>1.25</v>
      </c>
    </row>
    <row r="88" spans="1:24" x14ac:dyDescent="0.3">
      <c r="A88" s="104"/>
      <c r="C88" s="107"/>
      <c r="D88" s="16" t="s">
        <v>28</v>
      </c>
      <c r="E88" s="34">
        <v>0.26401999999999998</v>
      </c>
      <c r="F88" s="34">
        <v>0.29837000000000002</v>
      </c>
      <c r="G88" s="34">
        <v>0.28367999999999999</v>
      </c>
      <c r="H88" s="34">
        <v>0.3</v>
      </c>
      <c r="I88" s="34">
        <v>0.24953000000000006</v>
      </c>
      <c r="J88" s="34">
        <v>0.28410000000000002</v>
      </c>
      <c r="K88" s="34">
        <v>0.47114</v>
      </c>
      <c r="L88" s="34">
        <v>0.61140000000000005</v>
      </c>
      <c r="M88" s="34">
        <v>0.77580000000000005</v>
      </c>
    </row>
    <row r="89" spans="1:24" x14ac:dyDescent="0.3">
      <c r="A89" s="104"/>
      <c r="C89" s="59"/>
      <c r="D89" s="60"/>
      <c r="E89" s="59"/>
      <c r="F89" s="59"/>
      <c r="G89" s="59"/>
      <c r="H89" s="59"/>
      <c r="I89" s="59"/>
      <c r="J89" s="59"/>
      <c r="K89" s="59"/>
      <c r="L89" s="59"/>
      <c r="M89" s="59"/>
    </row>
    <row r="90" spans="1:24" x14ac:dyDescent="0.3">
      <c r="A90" s="104"/>
      <c r="C90" s="59"/>
      <c r="D90" s="59"/>
      <c r="E90" s="2">
        <v>2010</v>
      </c>
      <c r="F90" s="2">
        <v>2012</v>
      </c>
      <c r="G90" s="2">
        <v>2014</v>
      </c>
      <c r="H90" s="2">
        <v>2016</v>
      </c>
      <c r="I90" s="2">
        <v>2018</v>
      </c>
      <c r="J90" s="2">
        <v>2019</v>
      </c>
      <c r="K90" s="2">
        <v>2020</v>
      </c>
      <c r="L90" s="2">
        <v>2022</v>
      </c>
      <c r="M90" s="2">
        <v>2023</v>
      </c>
    </row>
    <row r="91" spans="1:24" ht="15" customHeight="1" x14ac:dyDescent="0.3">
      <c r="A91" s="104"/>
      <c r="C91" s="108" t="s">
        <v>40</v>
      </c>
      <c r="D91" s="5" t="s">
        <v>23</v>
      </c>
      <c r="E91" s="6">
        <v>82.635680000000008</v>
      </c>
      <c r="F91" s="6">
        <v>86.093870000000024</v>
      </c>
      <c r="G91" s="6">
        <v>88.427910000000068</v>
      </c>
      <c r="H91" s="6">
        <v>85.7</v>
      </c>
      <c r="I91" s="6">
        <v>94.428909999999973</v>
      </c>
      <c r="J91" s="6">
        <v>88.640600000000006</v>
      </c>
      <c r="K91" s="6">
        <v>88.89894000000001</v>
      </c>
      <c r="L91" s="6">
        <v>104.11450000000005</v>
      </c>
      <c r="M91" s="6">
        <v>113.40500000000003</v>
      </c>
    </row>
    <row r="92" spans="1:24" x14ac:dyDescent="0.3">
      <c r="A92" s="104"/>
      <c r="C92" s="108"/>
      <c r="D92" s="7" t="s">
        <v>24</v>
      </c>
      <c r="E92" s="8">
        <v>47.558300000000003</v>
      </c>
      <c r="F92" s="8">
        <v>48.93</v>
      </c>
      <c r="G92" s="8">
        <v>50.321249999999999</v>
      </c>
      <c r="H92" s="8">
        <v>53.2</v>
      </c>
      <c r="I92" s="8">
        <v>53.424300000000002</v>
      </c>
      <c r="J92" s="8">
        <v>52.459899999999998</v>
      </c>
      <c r="K92" s="8">
        <v>56.8855</v>
      </c>
      <c r="L92" s="8">
        <v>66.715000000000003</v>
      </c>
      <c r="M92" s="8">
        <v>73.043499999999995</v>
      </c>
    </row>
    <row r="93" spans="1:24" x14ac:dyDescent="0.3">
      <c r="A93" s="104"/>
      <c r="C93" s="108"/>
      <c r="D93" s="5" t="s">
        <v>25</v>
      </c>
      <c r="E93" s="6">
        <v>41.681544050764231</v>
      </c>
      <c r="F93" s="6">
        <v>52.044653240482994</v>
      </c>
      <c r="G93" s="6">
        <v>54.407389445097579</v>
      </c>
      <c r="H93" s="6">
        <v>56</v>
      </c>
      <c r="I93" s="6">
        <v>50.414103866126318</v>
      </c>
      <c r="J93" s="6">
        <v>49.743255986680701</v>
      </c>
      <c r="K93" s="6">
        <v>52.908063516462391</v>
      </c>
      <c r="L93" s="6">
        <v>58.973020289569696</v>
      </c>
      <c r="M93" s="6">
        <v>65.456187458435352</v>
      </c>
    </row>
    <row r="94" spans="1:24" x14ac:dyDescent="0.3">
      <c r="A94" s="104"/>
      <c r="C94" s="108"/>
      <c r="D94" s="7" t="s">
        <v>27</v>
      </c>
      <c r="E94" s="8">
        <v>14.6502</v>
      </c>
      <c r="F94" s="8">
        <v>17.032825000000003</v>
      </c>
      <c r="G94" s="8">
        <v>17.994</v>
      </c>
      <c r="H94" s="8">
        <v>18.5</v>
      </c>
      <c r="I94" s="8">
        <v>16.918725000000002</v>
      </c>
      <c r="J94" s="8">
        <v>17.5595</v>
      </c>
      <c r="K94" s="8">
        <v>21.578900000000001</v>
      </c>
      <c r="L94" s="8">
        <v>27.236249999999998</v>
      </c>
      <c r="M94" s="8">
        <v>29.72</v>
      </c>
    </row>
    <row r="95" spans="1:24" x14ac:dyDescent="0.3">
      <c r="A95" s="104"/>
      <c r="C95" s="108"/>
      <c r="D95" s="5" t="s">
        <v>28</v>
      </c>
      <c r="E95" s="9">
        <v>6.8193200000000003</v>
      </c>
      <c r="F95" s="9">
        <v>7.8411600000000004</v>
      </c>
      <c r="G95" s="9">
        <v>8.7505699999999997</v>
      </c>
      <c r="H95" s="9">
        <v>8.6</v>
      </c>
      <c r="I95" s="9">
        <v>6.812240000000001</v>
      </c>
      <c r="J95" s="9">
        <v>7.1124999999999998</v>
      </c>
      <c r="K95" s="9">
        <v>11.564020000000001</v>
      </c>
      <c r="L95" s="9">
        <v>15.158300000000002</v>
      </c>
      <c r="M95" s="9">
        <v>18.834200000000003</v>
      </c>
    </row>
    <row r="96" spans="1:24" x14ac:dyDescent="0.3">
      <c r="A96" s="104"/>
      <c r="C96" s="59"/>
      <c r="D96" s="60"/>
      <c r="E96" s="59"/>
      <c r="F96" s="59"/>
      <c r="G96" s="59"/>
      <c r="H96" s="59"/>
      <c r="I96" s="59"/>
      <c r="J96" s="59"/>
      <c r="K96" s="59"/>
    </row>
    <row r="97" spans="1:16" x14ac:dyDescent="0.3">
      <c r="A97" s="104"/>
      <c r="C97" s="59"/>
      <c r="D97" s="60"/>
      <c r="E97" s="59"/>
      <c r="F97" s="59"/>
      <c r="G97" s="59"/>
      <c r="H97" s="59"/>
      <c r="I97" s="59"/>
      <c r="J97" s="59"/>
      <c r="K97" s="59"/>
    </row>
    <row r="98" spans="1:16" ht="18" x14ac:dyDescent="0.35">
      <c r="A98" s="104"/>
      <c r="C98" s="81" t="str">
        <f>D9</f>
        <v>Emballages verre - Coût aidé HT et typologie d'habitat</v>
      </c>
      <c r="D98" s="81"/>
      <c r="E98" s="81"/>
      <c r="F98" s="81"/>
      <c r="G98" s="81"/>
      <c r="H98" s="81"/>
      <c r="I98" s="81"/>
      <c r="J98" s="81"/>
      <c r="K98" s="81"/>
      <c r="L98" s="81"/>
      <c r="M98" s="81"/>
    </row>
    <row r="99" spans="1:16" x14ac:dyDescent="0.3">
      <c r="A99" s="104"/>
      <c r="C99" s="106" t="s">
        <v>35</v>
      </c>
      <c r="D99" s="106"/>
      <c r="E99" s="59"/>
      <c r="F99" s="59"/>
      <c r="G99" s="59"/>
      <c r="H99" s="59"/>
      <c r="I99" s="59"/>
      <c r="J99" s="59"/>
      <c r="K99" s="59"/>
    </row>
    <row r="100" spans="1:16" x14ac:dyDescent="0.3">
      <c r="A100" s="104"/>
      <c r="C100" s="59"/>
      <c r="D100" s="59"/>
      <c r="E100" s="2" t="s">
        <v>14</v>
      </c>
      <c r="F100" s="2" t="s">
        <v>15</v>
      </c>
      <c r="G100" s="2" t="s">
        <v>16</v>
      </c>
      <c r="H100" s="2" t="s">
        <v>17</v>
      </c>
      <c r="I100" s="2" t="s">
        <v>18</v>
      </c>
      <c r="J100" s="59"/>
      <c r="K100" s="59"/>
    </row>
    <row r="101" spans="1:16" x14ac:dyDescent="0.3">
      <c r="A101" s="104"/>
      <c r="C101" s="59"/>
      <c r="D101" s="3" t="s">
        <v>36</v>
      </c>
      <c r="E101" s="4">
        <v>215</v>
      </c>
      <c r="F101" s="4">
        <v>191</v>
      </c>
      <c r="G101" s="4">
        <v>67</v>
      </c>
      <c r="H101" s="4">
        <v>62</v>
      </c>
      <c r="I101" s="4">
        <v>62</v>
      </c>
      <c r="K101" s="59"/>
    </row>
    <row r="102" spans="1:16" x14ac:dyDescent="0.3">
      <c r="A102" s="104"/>
      <c r="C102" s="59"/>
      <c r="D102" s="3" t="s">
        <v>42</v>
      </c>
      <c r="E102" s="71">
        <v>43</v>
      </c>
      <c r="F102" s="71">
        <v>40</v>
      </c>
      <c r="G102" s="71">
        <v>34</v>
      </c>
      <c r="H102" s="71">
        <v>28</v>
      </c>
      <c r="I102" s="71">
        <v>63.5</v>
      </c>
      <c r="K102" s="59"/>
    </row>
    <row r="103" spans="1:16" x14ac:dyDescent="0.3">
      <c r="A103" s="104"/>
      <c r="C103" s="59"/>
      <c r="D103" s="60"/>
      <c r="E103" s="59"/>
      <c r="F103" s="59"/>
      <c r="G103" s="59"/>
      <c r="H103" s="59"/>
      <c r="I103" s="59"/>
      <c r="J103" s="59"/>
      <c r="K103" s="59"/>
    </row>
    <row r="104" spans="1:16" x14ac:dyDescent="0.3">
      <c r="A104" s="104"/>
      <c r="C104" s="59"/>
      <c r="D104" s="59"/>
      <c r="E104" s="2" t="s">
        <v>14</v>
      </c>
      <c r="F104" s="2" t="s">
        <v>15</v>
      </c>
      <c r="G104" s="2" t="s">
        <v>16</v>
      </c>
      <c r="H104" s="2" t="s">
        <v>17</v>
      </c>
      <c r="I104" s="2" t="s">
        <v>18</v>
      </c>
      <c r="J104" s="59"/>
      <c r="K104" s="59"/>
    </row>
    <row r="105" spans="1:16" x14ac:dyDescent="0.3">
      <c r="A105" s="104"/>
      <c r="C105" s="107" t="s">
        <v>39</v>
      </c>
      <c r="D105" s="17" t="s">
        <v>23</v>
      </c>
      <c r="E105" s="33">
        <v>3.6309999999999998</v>
      </c>
      <c r="F105" s="33">
        <v>4.233200000000009</v>
      </c>
      <c r="G105" s="33">
        <v>4.9680000000000009</v>
      </c>
      <c r="H105" s="33">
        <v>4.6596000000000055</v>
      </c>
      <c r="I105" s="33">
        <v>9.2361000000000057</v>
      </c>
      <c r="J105" s="59"/>
      <c r="K105" s="59"/>
    </row>
    <row r="106" spans="1:16" x14ac:dyDescent="0.3">
      <c r="A106" s="104"/>
      <c r="C106" s="107"/>
      <c r="D106" s="16" t="s">
        <v>24</v>
      </c>
      <c r="E106" s="34">
        <v>2.6360000000000063</v>
      </c>
      <c r="F106" s="34">
        <v>2.5679999999999947</v>
      </c>
      <c r="G106" s="34">
        <v>3.2690000000000032</v>
      </c>
      <c r="H106" s="34">
        <v>3.4387499999999993</v>
      </c>
      <c r="I106" s="34">
        <v>6.1734999999999944</v>
      </c>
      <c r="J106" s="59"/>
      <c r="K106" s="59"/>
    </row>
    <row r="107" spans="1:16" s="25" customFormat="1" ht="18" customHeight="1" x14ac:dyDescent="0.3">
      <c r="A107" s="104"/>
      <c r="C107" s="107"/>
      <c r="D107" s="35" t="s">
        <v>26</v>
      </c>
      <c r="E107" s="36">
        <v>1.6279999999999912</v>
      </c>
      <c r="F107" s="36">
        <v>1.6920000000000028</v>
      </c>
      <c r="G107" s="36">
        <v>2.049000000000003</v>
      </c>
      <c r="H107" s="36">
        <v>2.0194999999999972</v>
      </c>
      <c r="I107" s="36">
        <v>3.4865000000000044</v>
      </c>
      <c r="J107" s="64"/>
      <c r="K107" s="59"/>
      <c r="L107"/>
      <c r="M107"/>
      <c r="N107"/>
      <c r="O107"/>
      <c r="P107"/>
    </row>
    <row r="108" spans="1:16" x14ac:dyDescent="0.3">
      <c r="A108" s="104"/>
      <c r="C108" s="107"/>
      <c r="D108" s="16" t="s">
        <v>27</v>
      </c>
      <c r="E108" s="34">
        <v>1.0989999999999958</v>
      </c>
      <c r="F108" s="34">
        <v>1.0920000000000043</v>
      </c>
      <c r="G108" s="34">
        <v>1.414000000000001</v>
      </c>
      <c r="H108" s="34">
        <v>1.5647500000000025</v>
      </c>
      <c r="I108" s="34">
        <v>2.2477499999999973</v>
      </c>
      <c r="J108" s="59"/>
      <c r="K108" s="59"/>
    </row>
    <row r="109" spans="1:16" x14ac:dyDescent="0.3">
      <c r="A109" s="104"/>
      <c r="C109" s="107"/>
      <c r="D109" s="17" t="s">
        <v>28</v>
      </c>
      <c r="E109" s="33">
        <v>0.64619999999999655</v>
      </c>
      <c r="F109" s="33">
        <v>0.74280000000000057</v>
      </c>
      <c r="G109" s="33">
        <v>1.0677999999999994</v>
      </c>
      <c r="H109" s="33">
        <v>1.1407000000000007</v>
      </c>
      <c r="I109" s="33">
        <v>1.7147999999999979</v>
      </c>
      <c r="J109" s="59"/>
      <c r="K109" s="59"/>
    </row>
    <row r="110" spans="1:16" x14ac:dyDescent="0.3">
      <c r="A110" s="104"/>
      <c r="C110" s="59"/>
      <c r="D110" s="60"/>
      <c r="E110" s="59"/>
      <c r="F110" s="59"/>
      <c r="G110" s="59"/>
      <c r="H110" s="59"/>
      <c r="I110" s="59"/>
      <c r="J110" s="59"/>
      <c r="K110" s="59"/>
    </row>
    <row r="111" spans="1:16" x14ac:dyDescent="0.3">
      <c r="A111" s="104"/>
      <c r="C111" s="59"/>
      <c r="D111" s="59"/>
      <c r="E111" s="2" t="s">
        <v>14</v>
      </c>
      <c r="F111" s="2" t="s">
        <v>15</v>
      </c>
      <c r="G111" s="2" t="s">
        <v>16</v>
      </c>
      <c r="H111" s="2" t="s">
        <v>17</v>
      </c>
      <c r="I111" s="2" t="s">
        <v>18</v>
      </c>
      <c r="J111" s="59"/>
      <c r="K111" s="59"/>
    </row>
    <row r="112" spans="1:16" x14ac:dyDescent="0.3">
      <c r="A112" s="104"/>
      <c r="C112" s="108" t="s">
        <v>40</v>
      </c>
      <c r="D112" s="7" t="s">
        <v>23</v>
      </c>
      <c r="E112" s="8">
        <v>86.788200000000259</v>
      </c>
      <c r="F112" s="8">
        <v>103.31140000000009</v>
      </c>
      <c r="G112" s="8">
        <v>153.72439999999986</v>
      </c>
      <c r="H112" s="8">
        <v>191.32510000000002</v>
      </c>
      <c r="I112" s="8">
        <v>128.71870000000013</v>
      </c>
      <c r="J112" s="59"/>
      <c r="K112" s="59"/>
    </row>
    <row r="113" spans="1:13" x14ac:dyDescent="0.3">
      <c r="A113" s="104"/>
      <c r="C113" s="108"/>
      <c r="D113" s="5" t="s">
        <v>24</v>
      </c>
      <c r="E113" s="9">
        <v>64.842000000000141</v>
      </c>
      <c r="F113" s="9">
        <v>63.326999999999899</v>
      </c>
      <c r="G113" s="9">
        <v>85.889000000000053</v>
      </c>
      <c r="H113" s="9">
        <v>110.20374999999989</v>
      </c>
      <c r="I113" s="9">
        <v>86.347749999999934</v>
      </c>
      <c r="J113" s="59"/>
      <c r="K113" s="59"/>
    </row>
    <row r="114" spans="1:13" x14ac:dyDescent="0.3">
      <c r="A114" s="104"/>
      <c r="C114" s="108"/>
      <c r="D114" s="7" t="s">
        <v>26</v>
      </c>
      <c r="E114" s="10">
        <v>39.247000000000092</v>
      </c>
      <c r="F114" s="10">
        <v>45.703999999999887</v>
      </c>
      <c r="G114" s="10">
        <v>62.33700000000001</v>
      </c>
      <c r="H114" s="10">
        <v>73.573500000000024</v>
      </c>
      <c r="I114" s="10">
        <v>61.411000000000051</v>
      </c>
      <c r="J114" s="59"/>
      <c r="K114" s="59"/>
    </row>
    <row r="115" spans="1:13" x14ac:dyDescent="0.3">
      <c r="A115" s="104"/>
      <c r="C115" s="108"/>
      <c r="D115" s="5" t="s">
        <v>27</v>
      </c>
      <c r="E115" s="9">
        <v>25.487000000000062</v>
      </c>
      <c r="F115" s="9">
        <v>26.944000000000056</v>
      </c>
      <c r="G115" s="9">
        <v>40.329000000000015</v>
      </c>
      <c r="H115" s="9">
        <v>58.03575</v>
      </c>
      <c r="I115" s="9">
        <v>43.912249999999993</v>
      </c>
      <c r="J115" s="59"/>
      <c r="K115" s="59"/>
    </row>
    <row r="116" spans="1:13" x14ac:dyDescent="0.3">
      <c r="A116" s="104"/>
      <c r="C116" s="108"/>
      <c r="D116" s="7" t="s">
        <v>28</v>
      </c>
      <c r="E116" s="8">
        <v>15.51600000000005</v>
      </c>
      <c r="F116" s="8">
        <v>17.407000000000043</v>
      </c>
      <c r="G116" s="8">
        <v>29.569199999999963</v>
      </c>
      <c r="H116" s="8">
        <v>41.321800000000017</v>
      </c>
      <c r="I116" s="8">
        <v>26.68550000000003</v>
      </c>
      <c r="J116" s="59"/>
      <c r="K116" s="59"/>
    </row>
    <row r="117" spans="1:13" x14ac:dyDescent="0.3">
      <c r="A117" s="104"/>
      <c r="C117" s="59"/>
      <c r="D117" s="60"/>
      <c r="E117" s="59"/>
      <c r="F117" s="59"/>
      <c r="G117" s="59"/>
      <c r="H117" s="59"/>
      <c r="I117" s="59"/>
      <c r="J117" s="59"/>
      <c r="K117" s="59"/>
    </row>
    <row r="118" spans="1:13" x14ac:dyDescent="0.3">
      <c r="A118" s="104"/>
      <c r="C118" s="59"/>
      <c r="D118" s="60"/>
      <c r="E118" s="59"/>
      <c r="F118" s="59"/>
      <c r="G118" s="59"/>
      <c r="H118" s="59"/>
      <c r="I118" s="59"/>
      <c r="J118" s="59"/>
      <c r="K118" s="59"/>
    </row>
    <row r="119" spans="1:13" ht="18" x14ac:dyDescent="0.35">
      <c r="A119" s="104"/>
      <c r="C119" s="81" t="str">
        <f>D10</f>
        <v>Emballages verre - Coût aidé HT et mode de collecte</v>
      </c>
      <c r="D119" s="81"/>
      <c r="E119" s="81"/>
      <c r="F119" s="81"/>
      <c r="G119" s="81"/>
      <c r="H119" s="81"/>
      <c r="I119" s="81"/>
      <c r="J119" s="81"/>
      <c r="K119" s="81"/>
      <c r="L119" s="81"/>
      <c r="M119" s="81"/>
    </row>
    <row r="120" spans="1:13" x14ac:dyDescent="0.3">
      <c r="A120" s="104"/>
      <c r="C120" s="106" t="s">
        <v>35</v>
      </c>
      <c r="D120" s="106"/>
      <c r="E120" s="59"/>
      <c r="F120" s="59"/>
      <c r="G120" s="59"/>
      <c r="H120" s="59"/>
      <c r="I120" s="59"/>
      <c r="J120" s="59"/>
      <c r="K120" s="59"/>
    </row>
    <row r="121" spans="1:13" ht="43.2" x14ac:dyDescent="0.3">
      <c r="A121" s="104"/>
      <c r="C121" s="59"/>
      <c r="D121" s="123" t="s">
        <v>130</v>
      </c>
      <c r="E121" s="2" t="s">
        <v>63</v>
      </c>
      <c r="F121" s="2" t="s">
        <v>76</v>
      </c>
      <c r="G121" s="2" t="s">
        <v>64</v>
      </c>
    </row>
    <row r="122" spans="1:13" x14ac:dyDescent="0.3">
      <c r="A122" s="104"/>
      <c r="D122" s="3" t="s">
        <v>36</v>
      </c>
      <c r="E122" s="4">
        <v>3</v>
      </c>
      <c r="F122" s="4">
        <v>48</v>
      </c>
      <c r="G122" s="4">
        <v>409</v>
      </c>
    </row>
    <row r="123" spans="1:13" x14ac:dyDescent="0.3">
      <c r="A123" s="104"/>
      <c r="C123" s="59"/>
      <c r="D123" s="60"/>
      <c r="E123" s="59"/>
      <c r="F123" s="59"/>
      <c r="G123" s="59"/>
    </row>
    <row r="124" spans="1:13" x14ac:dyDescent="0.3">
      <c r="A124" s="104"/>
      <c r="C124" s="59"/>
      <c r="D124" s="59"/>
      <c r="E124" s="2" t="str">
        <f>E121</f>
        <v>Porte-à-porte</v>
      </c>
      <c r="F124" s="2" t="str">
        <f>F121</f>
        <v>Mixte</v>
      </c>
      <c r="G124" s="2" t="str">
        <f>G121</f>
        <v>Apport volontaire</v>
      </c>
      <c r="L124" s="15"/>
      <c r="M124" s="15"/>
    </row>
    <row r="125" spans="1:13" ht="15" customHeight="1" x14ac:dyDescent="0.3">
      <c r="A125" s="104"/>
      <c r="C125" s="107" t="s">
        <v>39</v>
      </c>
      <c r="D125" s="16" t="s">
        <v>23</v>
      </c>
      <c r="E125" s="28"/>
      <c r="F125" s="28">
        <v>6.7656000000000054</v>
      </c>
      <c r="G125" s="28">
        <v>3.2380000000000342</v>
      </c>
      <c r="L125" s="15"/>
      <c r="M125" s="15"/>
    </row>
    <row r="126" spans="1:13" x14ac:dyDescent="0.3">
      <c r="A126" s="104"/>
      <c r="C126" s="107"/>
      <c r="D126" s="17" t="s">
        <v>24</v>
      </c>
      <c r="E126" s="75">
        <v>8.1579999999999995</v>
      </c>
      <c r="F126" s="75">
        <v>4.6212500000000025</v>
      </c>
      <c r="G126" s="75">
        <v>2.330500000000006</v>
      </c>
      <c r="L126" s="15"/>
      <c r="M126" s="15"/>
    </row>
    <row r="127" spans="1:13" s="25" customFormat="1" ht="17.399999999999999" customHeight="1" x14ac:dyDescent="0.3">
      <c r="A127" s="104"/>
      <c r="C127" s="107"/>
      <c r="D127" s="31" t="s">
        <v>26</v>
      </c>
      <c r="E127" s="28">
        <v>6.2110000000000012</v>
      </c>
      <c r="F127" s="28">
        <v>2.9225000000000012</v>
      </c>
      <c r="G127" s="28">
        <v>1.5599999999999909</v>
      </c>
      <c r="H127"/>
      <c r="I127"/>
      <c r="J127"/>
      <c r="K127"/>
      <c r="L127" s="26"/>
      <c r="M127" s="26"/>
    </row>
    <row r="128" spans="1:13" x14ac:dyDescent="0.3">
      <c r="A128" s="104"/>
      <c r="C128" s="107"/>
      <c r="D128" s="17" t="s">
        <v>27</v>
      </c>
      <c r="E128" s="75">
        <v>4.7130000000000001</v>
      </c>
      <c r="F128" s="75">
        <v>1.8735000000000017</v>
      </c>
      <c r="G128" s="75">
        <v>1.0455000000000032</v>
      </c>
      <c r="L128" s="15"/>
      <c r="M128" s="15"/>
    </row>
    <row r="129" spans="1:16" x14ac:dyDescent="0.3">
      <c r="A129" s="104"/>
      <c r="C129" s="107"/>
      <c r="D129" s="16" t="s">
        <v>28</v>
      </c>
      <c r="E129" s="34"/>
      <c r="F129" s="34">
        <v>1.410400000000001</v>
      </c>
      <c r="G129" s="34">
        <v>0.58299999999999852</v>
      </c>
      <c r="L129" s="15"/>
      <c r="M129" s="15"/>
    </row>
    <row r="130" spans="1:16" x14ac:dyDescent="0.3">
      <c r="A130" s="104"/>
      <c r="C130" s="59"/>
      <c r="D130" s="60"/>
      <c r="E130" s="59"/>
      <c r="F130" s="59"/>
      <c r="G130" s="59"/>
      <c r="I130" s="59"/>
      <c r="J130" s="65"/>
      <c r="K130" s="59"/>
    </row>
    <row r="131" spans="1:16" x14ac:dyDescent="0.3">
      <c r="A131" s="104"/>
      <c r="C131" s="59"/>
      <c r="D131" s="59"/>
      <c r="E131" s="2" t="str">
        <f>E121</f>
        <v>Porte-à-porte</v>
      </c>
      <c r="F131" s="2" t="str">
        <f>F121</f>
        <v>Mixte</v>
      </c>
      <c r="G131" s="2" t="str">
        <f>G121</f>
        <v>Apport volontaire</v>
      </c>
      <c r="I131" s="59"/>
      <c r="J131" s="65"/>
      <c r="K131" s="59"/>
    </row>
    <row r="132" spans="1:16" ht="15" customHeight="1" x14ac:dyDescent="0.3">
      <c r="A132" s="104"/>
      <c r="C132" s="108" t="s">
        <v>40</v>
      </c>
      <c r="D132" s="5" t="s">
        <v>23</v>
      </c>
      <c r="E132" s="6"/>
      <c r="F132" s="6">
        <v>210.09379999999999</v>
      </c>
      <c r="G132" s="6">
        <v>83.949000000000339</v>
      </c>
      <c r="I132" s="59"/>
      <c r="J132" s="59"/>
      <c r="K132" s="59"/>
    </row>
    <row r="133" spans="1:16" x14ac:dyDescent="0.3">
      <c r="A133" s="104"/>
      <c r="C133" s="108"/>
      <c r="D133" s="7" t="s">
        <v>24</v>
      </c>
      <c r="E133" s="76">
        <v>182.92699999999999</v>
      </c>
      <c r="F133" s="76">
        <v>123.20575000000007</v>
      </c>
      <c r="G133" s="76">
        <v>61.818999999999726</v>
      </c>
      <c r="I133" s="59"/>
      <c r="J133" s="59"/>
      <c r="K133" s="59"/>
    </row>
    <row r="134" spans="1:16" x14ac:dyDescent="0.3">
      <c r="A134" s="104"/>
      <c r="C134" s="108"/>
      <c r="D134" s="5" t="s">
        <v>26</v>
      </c>
      <c r="E134" s="9">
        <v>147.78</v>
      </c>
      <c r="F134" s="9">
        <v>90.447999999999979</v>
      </c>
      <c r="G134" s="9">
        <v>41.904000000000259</v>
      </c>
      <c r="I134" s="59"/>
      <c r="J134" s="59"/>
      <c r="K134" s="59"/>
    </row>
    <row r="135" spans="1:16" x14ac:dyDescent="0.3">
      <c r="A135" s="104"/>
      <c r="C135" s="108"/>
      <c r="D135" s="7" t="s">
        <v>27</v>
      </c>
      <c r="E135" s="10">
        <v>145.39099999999999</v>
      </c>
      <c r="F135" s="10">
        <v>58.287749999999967</v>
      </c>
      <c r="G135" s="10">
        <v>26.21450000000004</v>
      </c>
      <c r="I135" s="59"/>
      <c r="J135" s="59"/>
      <c r="K135" s="59"/>
    </row>
    <row r="136" spans="1:16" x14ac:dyDescent="0.3">
      <c r="A136" s="104"/>
      <c r="C136" s="108"/>
      <c r="D136" s="5" t="s">
        <v>28</v>
      </c>
      <c r="E136" s="9"/>
      <c r="F136" s="9">
        <v>44.52089999999999</v>
      </c>
      <c r="G136" s="9">
        <v>15.22199999999998</v>
      </c>
      <c r="I136" s="59"/>
      <c r="J136" s="59"/>
      <c r="K136" s="59"/>
    </row>
    <row r="137" spans="1:16" x14ac:dyDescent="0.3">
      <c r="A137" s="104"/>
      <c r="C137" s="59"/>
      <c r="D137" s="60"/>
      <c r="E137" s="59"/>
      <c r="F137" s="59"/>
      <c r="G137" s="59"/>
      <c r="H137" s="59"/>
      <c r="I137" s="59"/>
      <c r="J137" s="59"/>
      <c r="K137" s="59"/>
    </row>
    <row r="138" spans="1:16" x14ac:dyDescent="0.3">
      <c r="A138" s="104"/>
      <c r="C138" s="59"/>
      <c r="D138" s="60"/>
      <c r="E138" s="59"/>
      <c r="F138" s="59"/>
      <c r="G138" s="59"/>
      <c r="H138" s="59"/>
      <c r="I138" s="59"/>
      <c r="J138" s="59"/>
      <c r="K138" s="59"/>
      <c r="M138" s="15"/>
      <c r="N138" s="15"/>
      <c r="O138" s="15"/>
      <c r="P138" s="15"/>
    </row>
    <row r="139" spans="1:16" ht="18" x14ac:dyDescent="0.35">
      <c r="A139" s="104"/>
      <c r="C139" s="81" t="str">
        <f>D11</f>
        <v>Emballages verre - Charges de pré-collecte et de collecte et mode de collecte</v>
      </c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15"/>
      <c r="O139" s="15"/>
      <c r="P139" s="15"/>
    </row>
    <row r="140" spans="1:16" x14ac:dyDescent="0.3">
      <c r="A140" s="104"/>
      <c r="C140" s="106" t="s">
        <v>35</v>
      </c>
      <c r="D140" s="106"/>
      <c r="E140" s="59"/>
      <c r="F140" s="59"/>
      <c r="G140" s="59"/>
      <c r="H140" s="59"/>
      <c r="I140" s="59"/>
      <c r="J140" s="59"/>
      <c r="K140" s="59"/>
      <c r="M140" s="15"/>
      <c r="N140" s="15"/>
      <c r="O140" s="15"/>
      <c r="P140" s="15"/>
    </row>
    <row r="141" spans="1:16" ht="43.2" x14ac:dyDescent="0.3">
      <c r="A141" s="104"/>
      <c r="C141" s="59"/>
      <c r="D141" s="123" t="s">
        <v>130</v>
      </c>
      <c r="E141" s="2" t="s">
        <v>63</v>
      </c>
      <c r="F141" s="2" t="s">
        <v>76</v>
      </c>
      <c r="G141" s="2" t="s">
        <v>64</v>
      </c>
      <c r="H141" s="59"/>
      <c r="I141" s="59"/>
      <c r="J141" s="65"/>
      <c r="K141" s="65"/>
      <c r="L141" s="15"/>
      <c r="M141" s="15"/>
      <c r="N141" s="15"/>
      <c r="O141" s="15"/>
      <c r="P141" s="15"/>
    </row>
    <row r="142" spans="1:16" x14ac:dyDescent="0.3">
      <c r="A142" s="104"/>
      <c r="D142" s="3" t="s">
        <v>36</v>
      </c>
      <c r="E142" s="4">
        <v>3</v>
      </c>
      <c r="F142" s="4">
        <v>60</v>
      </c>
      <c r="G142" s="4">
        <v>461</v>
      </c>
      <c r="H142" s="59"/>
      <c r="I142" s="59"/>
      <c r="J142" s="65"/>
      <c r="K142" s="65"/>
      <c r="L142" s="15"/>
      <c r="M142" s="15"/>
    </row>
    <row r="143" spans="1:16" x14ac:dyDescent="0.3">
      <c r="A143" s="104"/>
      <c r="C143" s="59"/>
      <c r="D143" s="60"/>
      <c r="E143" s="59"/>
      <c r="F143" s="59"/>
      <c r="G143" s="59"/>
      <c r="H143" s="59"/>
      <c r="I143" s="59"/>
      <c r="J143" s="65"/>
      <c r="K143" s="65"/>
      <c r="L143" s="15"/>
      <c r="M143" s="15"/>
    </row>
    <row r="144" spans="1:16" x14ac:dyDescent="0.3">
      <c r="A144" s="104"/>
      <c r="C144" s="59"/>
      <c r="D144" s="59"/>
      <c r="E144" s="2" t="str">
        <f>E141</f>
        <v>Porte-à-porte</v>
      </c>
      <c r="F144" s="2" t="str">
        <f>F141</f>
        <v>Mixte</v>
      </c>
      <c r="G144" s="2" t="str">
        <f>G141</f>
        <v>Apport volontaire</v>
      </c>
      <c r="H144" s="59"/>
      <c r="L144" s="15"/>
      <c r="M144" s="15"/>
    </row>
    <row r="145" spans="1:16" x14ac:dyDescent="0.3">
      <c r="A145" s="104"/>
      <c r="C145" s="107" t="s">
        <v>39</v>
      </c>
      <c r="D145" s="16" t="s">
        <v>23</v>
      </c>
      <c r="E145" s="28"/>
      <c r="F145" s="28">
        <v>6.9882000000000044</v>
      </c>
      <c r="G145" s="28">
        <v>4.4993999999999712</v>
      </c>
      <c r="H145" s="59"/>
      <c r="L145" s="15"/>
      <c r="M145" s="15"/>
    </row>
    <row r="146" spans="1:16" x14ac:dyDescent="0.3">
      <c r="A146" s="104"/>
      <c r="C146" s="107"/>
      <c r="D146" s="17" t="s">
        <v>24</v>
      </c>
      <c r="E146" s="75">
        <v>9.7430000000000003</v>
      </c>
      <c r="F146" s="75">
        <v>5.3712499999999972</v>
      </c>
      <c r="G146" s="75">
        <v>3.5844999999999883</v>
      </c>
      <c r="H146" s="59"/>
    </row>
    <row r="147" spans="1:16" s="25" customFormat="1" ht="17.399999999999999" customHeight="1" x14ac:dyDescent="0.3">
      <c r="A147" s="104"/>
      <c r="C147" s="107"/>
      <c r="D147" s="31" t="s">
        <v>26</v>
      </c>
      <c r="E147" s="28">
        <v>6.9629999999946719</v>
      </c>
      <c r="F147" s="28">
        <v>3.826999999995365</v>
      </c>
      <c r="G147" s="28">
        <v>2.7199999999967694</v>
      </c>
      <c r="H147" s="59"/>
      <c r="I147"/>
      <c r="J147"/>
      <c r="K147"/>
    </row>
    <row r="148" spans="1:16" x14ac:dyDescent="0.3">
      <c r="A148" s="104"/>
      <c r="C148" s="107"/>
      <c r="D148" s="17" t="s">
        <v>27</v>
      </c>
      <c r="E148" s="75">
        <v>5.6309999999999993</v>
      </c>
      <c r="F148" s="75">
        <v>2.722</v>
      </c>
      <c r="G148" s="75">
        <v>2.101999999999983</v>
      </c>
      <c r="H148" s="59"/>
    </row>
    <row r="149" spans="1:16" x14ac:dyDescent="0.3">
      <c r="A149" s="104"/>
      <c r="C149" s="107"/>
      <c r="D149" s="16" t="s">
        <v>28</v>
      </c>
      <c r="E149" s="34"/>
      <c r="F149" s="34">
        <v>2.1291999999999982</v>
      </c>
      <c r="G149" s="34">
        <v>1.7154000000000107</v>
      </c>
      <c r="H149" s="59"/>
      <c r="I149" s="59"/>
      <c r="J149" s="59"/>
      <c r="K149" s="59"/>
    </row>
    <row r="150" spans="1:16" x14ac:dyDescent="0.3">
      <c r="A150" s="104"/>
      <c r="C150" s="59"/>
      <c r="D150" s="60"/>
      <c r="E150" s="59"/>
      <c r="F150" s="59"/>
      <c r="G150" s="59"/>
      <c r="H150" s="59"/>
      <c r="I150" s="59"/>
      <c r="J150" s="59"/>
      <c r="K150" s="59"/>
    </row>
    <row r="151" spans="1:16" x14ac:dyDescent="0.3">
      <c r="A151" s="104"/>
      <c r="C151" s="59"/>
      <c r="D151" s="59"/>
      <c r="E151" s="2" t="str">
        <f>E141</f>
        <v>Porte-à-porte</v>
      </c>
      <c r="F151" s="2" t="str">
        <f>F141</f>
        <v>Mixte</v>
      </c>
      <c r="G151" s="2" t="str">
        <f>G141</f>
        <v>Apport volontaire</v>
      </c>
      <c r="H151" s="59"/>
      <c r="I151" s="59"/>
      <c r="J151" s="59"/>
      <c r="K151" s="59"/>
    </row>
    <row r="152" spans="1:16" x14ac:dyDescent="0.3">
      <c r="A152" s="104"/>
      <c r="C152" s="108" t="s">
        <v>40</v>
      </c>
      <c r="D152" s="5" t="s">
        <v>23</v>
      </c>
      <c r="E152" s="6"/>
      <c r="F152" s="6">
        <v>257.52399999999977</v>
      </c>
      <c r="G152" s="6">
        <v>113.98200000000135</v>
      </c>
      <c r="H152" s="59"/>
      <c r="I152" s="59"/>
      <c r="J152" s="59"/>
      <c r="K152" s="65"/>
      <c r="L152" s="15"/>
      <c r="M152" s="15"/>
    </row>
    <row r="153" spans="1:16" x14ac:dyDescent="0.3">
      <c r="A153" s="104"/>
      <c r="C153" s="108"/>
      <c r="D153" s="7" t="s">
        <v>24</v>
      </c>
      <c r="E153" s="76">
        <v>218.54900000000001</v>
      </c>
      <c r="F153" s="76">
        <v>181.16025000000016</v>
      </c>
      <c r="G153" s="76">
        <v>87.463500000000252</v>
      </c>
      <c r="H153" s="59"/>
      <c r="I153" s="59"/>
      <c r="J153" s="59"/>
      <c r="K153" s="65"/>
      <c r="L153" s="15"/>
      <c r="M153" s="15"/>
    </row>
    <row r="154" spans="1:16" x14ac:dyDescent="0.3">
      <c r="A154" s="104"/>
      <c r="C154" s="108"/>
      <c r="D154" s="5" t="s">
        <v>26</v>
      </c>
      <c r="E154" s="9">
        <v>173.63299999996821</v>
      </c>
      <c r="F154" s="9">
        <v>120.6419999995415</v>
      </c>
      <c r="G154" s="9">
        <v>68.94499999998952</v>
      </c>
      <c r="H154" s="59"/>
      <c r="I154" s="59"/>
      <c r="J154" s="59"/>
      <c r="K154" s="59"/>
    </row>
    <row r="155" spans="1:16" x14ac:dyDescent="0.3">
      <c r="A155" s="104"/>
      <c r="C155" s="108"/>
      <c r="D155" s="7" t="s">
        <v>27</v>
      </c>
      <c r="E155" s="10">
        <v>165.68</v>
      </c>
      <c r="F155" s="10">
        <v>84.271749999999912</v>
      </c>
      <c r="G155" s="10">
        <v>55.660500000000617</v>
      </c>
      <c r="H155" s="59"/>
      <c r="I155" s="59"/>
      <c r="J155" s="59"/>
      <c r="K155" s="59"/>
    </row>
    <row r="156" spans="1:16" x14ac:dyDescent="0.3">
      <c r="A156" s="104"/>
      <c r="C156" s="108"/>
      <c r="D156" s="5" t="s">
        <v>28</v>
      </c>
      <c r="E156" s="9"/>
      <c r="F156" s="9">
        <v>70.93269999999994</v>
      </c>
      <c r="G156" s="9">
        <v>47.571599999999634</v>
      </c>
      <c r="H156" s="59"/>
      <c r="I156" s="59"/>
      <c r="J156" s="59"/>
      <c r="K156" s="59"/>
    </row>
    <row r="157" spans="1:16" x14ac:dyDescent="0.3">
      <c r="A157" s="104"/>
      <c r="C157" s="67"/>
      <c r="D157" s="59"/>
      <c r="E157" s="59"/>
      <c r="F157" s="59"/>
      <c r="G157" s="59"/>
      <c r="H157" s="59"/>
      <c r="I157" s="59"/>
      <c r="J157" s="59"/>
      <c r="K157" s="59"/>
    </row>
    <row r="158" spans="1:16" x14ac:dyDescent="0.3">
      <c r="A158" s="104"/>
      <c r="C158" s="59"/>
      <c r="D158" s="60"/>
      <c r="E158" s="59"/>
      <c r="F158" s="59"/>
      <c r="G158" s="59"/>
      <c r="H158" s="59"/>
      <c r="I158" s="59"/>
      <c r="J158" s="59"/>
      <c r="K158" s="59"/>
    </row>
    <row r="159" spans="1:16" ht="18" x14ac:dyDescent="0.35">
      <c r="A159" s="104"/>
      <c r="C159" s="81" t="str">
        <f>D12</f>
        <v>Emballages verre - Charges de pré-collecte et mode de collecte</v>
      </c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15"/>
      <c r="O159" s="15"/>
      <c r="P159" s="15"/>
    </row>
    <row r="160" spans="1:16" x14ac:dyDescent="0.3">
      <c r="A160" s="104"/>
      <c r="C160" s="106" t="s">
        <v>35</v>
      </c>
      <c r="D160" s="106"/>
      <c r="E160" s="59"/>
      <c r="F160" s="59"/>
      <c r="G160" s="59"/>
      <c r="H160" s="59"/>
      <c r="I160" s="59"/>
      <c r="J160" s="59"/>
      <c r="K160" s="59"/>
      <c r="M160" s="15"/>
      <c r="N160" s="15"/>
      <c r="O160" s="15"/>
      <c r="P160" s="15"/>
    </row>
    <row r="161" spans="1:16" ht="43.2" x14ac:dyDescent="0.3">
      <c r="A161" s="104"/>
      <c r="C161" s="59"/>
      <c r="D161" s="123" t="s">
        <v>130</v>
      </c>
      <c r="E161" s="2" t="s">
        <v>63</v>
      </c>
      <c r="F161" s="2" t="s">
        <v>76</v>
      </c>
      <c r="G161" s="2" t="s">
        <v>64</v>
      </c>
      <c r="H161" s="59"/>
      <c r="I161" s="59"/>
      <c r="J161" s="65"/>
      <c r="K161" s="65"/>
      <c r="L161" s="15"/>
      <c r="M161" s="15"/>
      <c r="N161" s="15"/>
      <c r="O161" s="15"/>
      <c r="P161" s="15"/>
    </row>
    <row r="162" spans="1:16" x14ac:dyDescent="0.3">
      <c r="A162" s="104"/>
      <c r="C162" s="59"/>
      <c r="D162" s="3" t="s">
        <v>36</v>
      </c>
      <c r="E162" s="4">
        <f>E142</f>
        <v>3</v>
      </c>
      <c r="F162" s="4">
        <f t="shared" ref="F162:G162" si="0">F142</f>
        <v>60</v>
      </c>
      <c r="G162" s="4">
        <f t="shared" si="0"/>
        <v>461</v>
      </c>
      <c r="H162" s="59"/>
      <c r="I162" s="59"/>
      <c r="J162" s="65"/>
      <c r="K162" s="65"/>
      <c r="L162" s="15"/>
      <c r="M162" s="15"/>
    </row>
    <row r="163" spans="1:16" x14ac:dyDescent="0.3">
      <c r="A163" s="104"/>
      <c r="C163" s="59"/>
      <c r="D163" s="60"/>
      <c r="E163" s="59"/>
      <c r="F163" s="59"/>
      <c r="G163" s="59"/>
      <c r="H163" s="59"/>
      <c r="I163" s="59"/>
      <c r="J163" s="65"/>
      <c r="K163" s="65"/>
      <c r="L163" s="15"/>
      <c r="M163" s="15"/>
    </row>
    <row r="164" spans="1:16" x14ac:dyDescent="0.3">
      <c r="A164" s="104"/>
      <c r="C164" s="59"/>
      <c r="D164" s="59"/>
      <c r="E164" s="2" t="str">
        <f>E161</f>
        <v>Porte-à-porte</v>
      </c>
      <c r="F164" s="2" t="str">
        <f>F161</f>
        <v>Mixte</v>
      </c>
      <c r="G164" s="2" t="str">
        <f>G161</f>
        <v>Apport volontaire</v>
      </c>
      <c r="H164" s="59"/>
      <c r="M164" s="15"/>
    </row>
    <row r="165" spans="1:16" x14ac:dyDescent="0.3">
      <c r="A165" s="104"/>
      <c r="C165" s="107" t="s">
        <v>39</v>
      </c>
      <c r="D165" s="16" t="s">
        <v>23</v>
      </c>
      <c r="E165" s="28"/>
      <c r="F165" s="28">
        <v>1.5255999999999983</v>
      </c>
      <c r="G165" s="28">
        <v>1.5072000000000092</v>
      </c>
      <c r="H165" s="59"/>
      <c r="M165" s="15"/>
    </row>
    <row r="166" spans="1:16" x14ac:dyDescent="0.3">
      <c r="A166" s="104"/>
      <c r="C166" s="107"/>
      <c r="D166" s="17" t="s">
        <v>24</v>
      </c>
      <c r="E166" s="75">
        <v>0.70899999999999996</v>
      </c>
      <c r="F166" s="75">
        <v>1.032249999999999</v>
      </c>
      <c r="G166" s="75">
        <v>0.94150000000000567</v>
      </c>
      <c r="H166" s="59"/>
    </row>
    <row r="167" spans="1:16" s="25" customFormat="1" ht="17.399999999999999" customHeight="1" x14ac:dyDescent="0.3">
      <c r="A167" s="104"/>
      <c r="C167" s="107"/>
      <c r="D167" s="31" t="s">
        <v>26</v>
      </c>
      <c r="E167" s="28">
        <v>0.27499999999916003</v>
      </c>
      <c r="F167" s="28">
        <v>0.68999999999853612</v>
      </c>
      <c r="G167" s="28">
        <v>0.50199999999907319</v>
      </c>
      <c r="H167" s="59"/>
      <c r="I167"/>
      <c r="J167"/>
      <c r="K167"/>
      <c r="L167"/>
    </row>
    <row r="168" spans="1:16" x14ac:dyDescent="0.3">
      <c r="A168" s="104"/>
      <c r="C168" s="107"/>
      <c r="D168" s="17" t="s">
        <v>27</v>
      </c>
      <c r="E168" s="75">
        <v>6.5000000000000002E-2</v>
      </c>
      <c r="F168" s="75">
        <v>0.36274999999999963</v>
      </c>
      <c r="G168" s="75">
        <v>0.23699999999999816</v>
      </c>
      <c r="H168" s="59"/>
    </row>
    <row r="169" spans="1:16" x14ac:dyDescent="0.3">
      <c r="A169" s="104"/>
      <c r="C169" s="107"/>
      <c r="D169" s="16" t="s">
        <v>28</v>
      </c>
      <c r="E169" s="34"/>
      <c r="F169" s="34">
        <v>0.18909999999999988</v>
      </c>
      <c r="G169" s="34">
        <v>0.12400000000000075</v>
      </c>
      <c r="H169" s="59"/>
      <c r="I169" s="59"/>
      <c r="J169" s="65"/>
      <c r="K169" s="59"/>
    </row>
    <row r="170" spans="1:16" x14ac:dyDescent="0.3">
      <c r="A170" s="104"/>
      <c r="C170" s="59"/>
      <c r="D170" s="60"/>
      <c r="E170" s="59"/>
      <c r="F170" s="59"/>
      <c r="G170" s="59"/>
      <c r="H170" s="59"/>
      <c r="I170" s="59"/>
      <c r="J170" s="65"/>
      <c r="K170" s="59"/>
    </row>
    <row r="171" spans="1:16" x14ac:dyDescent="0.3">
      <c r="A171" s="104"/>
      <c r="C171" s="59"/>
      <c r="D171" s="59"/>
      <c r="E171" s="2" t="str">
        <f>E161</f>
        <v>Porte-à-porte</v>
      </c>
      <c r="F171" s="2" t="str">
        <f>F161</f>
        <v>Mixte</v>
      </c>
      <c r="G171" s="2" t="str">
        <f>G161</f>
        <v>Apport volontaire</v>
      </c>
      <c r="H171" s="59"/>
      <c r="I171" s="59"/>
      <c r="J171" s="65"/>
      <c r="K171" s="59"/>
    </row>
    <row r="172" spans="1:16" x14ac:dyDescent="0.3">
      <c r="A172" s="104"/>
      <c r="C172" s="108" t="s">
        <v>40</v>
      </c>
      <c r="D172" s="5" t="s">
        <v>23</v>
      </c>
      <c r="E172" s="6"/>
      <c r="F172" s="6">
        <v>67.712799999999902</v>
      </c>
      <c r="G172" s="6">
        <v>39.824599999999926</v>
      </c>
      <c r="H172" s="59"/>
      <c r="I172" s="59"/>
      <c r="J172" s="59"/>
      <c r="K172" s="65"/>
      <c r="L172" s="15"/>
      <c r="M172" s="15"/>
    </row>
    <row r="173" spans="1:16" x14ac:dyDescent="0.3">
      <c r="A173" s="104"/>
      <c r="C173" s="108"/>
      <c r="D173" s="7" t="s">
        <v>24</v>
      </c>
      <c r="E173" s="76">
        <v>27.501999999999999</v>
      </c>
      <c r="F173" s="76">
        <v>37.062249999999963</v>
      </c>
      <c r="G173" s="76">
        <v>23.797500000000042</v>
      </c>
      <c r="H173" s="59"/>
      <c r="I173" s="59"/>
      <c r="J173" s="59"/>
      <c r="K173" s="65"/>
      <c r="L173" s="15"/>
      <c r="M173" s="15"/>
    </row>
    <row r="174" spans="1:16" x14ac:dyDescent="0.3">
      <c r="A174" s="104"/>
      <c r="C174" s="108"/>
      <c r="D174" s="5" t="s">
        <v>26</v>
      </c>
      <c r="E174" s="9">
        <v>4.8939999999866401</v>
      </c>
      <c r="F174" s="9">
        <v>22.292499999933835</v>
      </c>
      <c r="G174" s="9">
        <v>13.088999999985317</v>
      </c>
      <c r="H174" s="59"/>
      <c r="I174" s="59"/>
      <c r="J174" s="59"/>
      <c r="K174" s="59"/>
    </row>
    <row r="175" spans="1:16" x14ac:dyDescent="0.3">
      <c r="A175" s="104"/>
      <c r="C175" s="108"/>
      <c r="D175" s="7" t="s">
        <v>27</v>
      </c>
      <c r="E175" s="10">
        <v>1.554</v>
      </c>
      <c r="F175" s="10">
        <v>12.471999999999987</v>
      </c>
      <c r="G175" s="10">
        <v>6.0149999999999988</v>
      </c>
      <c r="H175" s="59"/>
      <c r="I175" s="59"/>
      <c r="J175" s="59"/>
      <c r="K175" s="59"/>
    </row>
    <row r="176" spans="1:16" x14ac:dyDescent="0.3">
      <c r="A176" s="104"/>
      <c r="C176" s="108"/>
      <c r="D176" s="5" t="s">
        <v>28</v>
      </c>
      <c r="E176" s="9"/>
      <c r="F176" s="9">
        <v>5.0231999999999983</v>
      </c>
      <c r="G176" s="9">
        <v>3.1964000000000232</v>
      </c>
      <c r="H176" s="59"/>
      <c r="I176" s="59"/>
      <c r="J176" s="59"/>
      <c r="K176" s="59"/>
    </row>
    <row r="177" spans="1:16" x14ac:dyDescent="0.3">
      <c r="A177" s="104"/>
      <c r="C177" s="67"/>
      <c r="D177" s="59"/>
      <c r="E177" s="59"/>
      <c r="F177" s="59"/>
      <c r="G177" s="59"/>
      <c r="H177" s="59"/>
      <c r="I177" s="59"/>
      <c r="J177" s="59"/>
      <c r="K177" s="59"/>
    </row>
    <row r="178" spans="1:16" x14ac:dyDescent="0.3">
      <c r="A178" s="104"/>
      <c r="C178" s="59"/>
      <c r="D178" s="60"/>
      <c r="E178" s="59"/>
      <c r="F178" s="59"/>
      <c r="G178" s="59"/>
      <c r="H178" s="59"/>
      <c r="I178" s="59"/>
      <c r="J178" s="59"/>
      <c r="K178" s="59"/>
    </row>
    <row r="179" spans="1:16" ht="18" x14ac:dyDescent="0.35">
      <c r="A179" s="104"/>
      <c r="C179" s="81" t="str">
        <f>D13</f>
        <v>Emballages verre - Charges de collecte et mode de collecte</v>
      </c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15"/>
      <c r="O179" s="15"/>
      <c r="P179" s="15"/>
    </row>
    <row r="180" spans="1:16" x14ac:dyDescent="0.3">
      <c r="A180" s="104"/>
      <c r="C180" s="106" t="s">
        <v>35</v>
      </c>
      <c r="D180" s="106"/>
      <c r="E180" s="59"/>
      <c r="F180" s="59"/>
      <c r="G180" s="59"/>
      <c r="H180" s="59"/>
      <c r="I180" s="59"/>
      <c r="J180" s="59"/>
      <c r="K180" s="59"/>
      <c r="M180" s="15"/>
      <c r="N180" s="15"/>
      <c r="O180" s="15"/>
      <c r="P180" s="15"/>
    </row>
    <row r="181" spans="1:16" ht="43.2" x14ac:dyDescent="0.3">
      <c r="A181" s="104"/>
      <c r="C181" s="59"/>
      <c r="D181" s="123" t="s">
        <v>130</v>
      </c>
      <c r="E181" s="2" t="s">
        <v>63</v>
      </c>
      <c r="F181" s="2" t="s">
        <v>76</v>
      </c>
      <c r="G181" s="2" t="s">
        <v>64</v>
      </c>
      <c r="H181" s="59"/>
      <c r="I181" s="59"/>
      <c r="J181" s="65"/>
      <c r="K181" s="65"/>
      <c r="L181" s="15"/>
      <c r="M181" s="15"/>
      <c r="N181" s="15"/>
      <c r="O181" s="15"/>
      <c r="P181" s="15"/>
    </row>
    <row r="182" spans="1:16" x14ac:dyDescent="0.3">
      <c r="A182" s="104"/>
      <c r="C182" s="59"/>
      <c r="D182" s="3" t="s">
        <v>36</v>
      </c>
      <c r="E182" s="4">
        <f>E142</f>
        <v>3</v>
      </c>
      <c r="F182" s="4">
        <f t="shared" ref="F182:G182" si="1">F142</f>
        <v>60</v>
      </c>
      <c r="G182" s="4">
        <f t="shared" si="1"/>
        <v>461</v>
      </c>
      <c r="H182" s="59"/>
      <c r="I182" s="59"/>
      <c r="J182" s="65"/>
      <c r="K182" s="65"/>
      <c r="L182" s="15"/>
      <c r="M182" s="15"/>
    </row>
    <row r="183" spans="1:16" x14ac:dyDescent="0.3">
      <c r="A183" s="104"/>
      <c r="C183" s="59"/>
      <c r="D183" s="60"/>
      <c r="E183" s="59"/>
      <c r="F183" s="59"/>
      <c r="G183" s="59"/>
      <c r="H183" s="59"/>
      <c r="I183" s="59"/>
      <c r="J183" s="65"/>
      <c r="K183" s="65"/>
      <c r="L183" s="15"/>
      <c r="M183" s="15"/>
    </row>
    <row r="184" spans="1:16" x14ac:dyDescent="0.3">
      <c r="A184" s="104"/>
      <c r="C184" s="59"/>
      <c r="D184" s="59"/>
      <c r="E184" s="2" t="str">
        <f>E181</f>
        <v>Porte-à-porte</v>
      </c>
      <c r="F184" s="2" t="str">
        <f>F181</f>
        <v>Mixte</v>
      </c>
      <c r="G184" s="2" t="str">
        <f>G181</f>
        <v>Apport volontaire</v>
      </c>
      <c r="H184" s="59"/>
      <c r="I184" s="59"/>
      <c r="J184" s="65"/>
      <c r="K184" s="65"/>
      <c r="L184" s="15"/>
      <c r="M184" s="15"/>
    </row>
    <row r="185" spans="1:16" x14ac:dyDescent="0.3">
      <c r="A185" s="104"/>
      <c r="C185" s="107" t="s">
        <v>39</v>
      </c>
      <c r="D185" s="16" t="s">
        <v>23</v>
      </c>
      <c r="E185" s="28"/>
      <c r="F185" s="28">
        <v>6.7613000000000039</v>
      </c>
      <c r="G185" s="28">
        <v>3.5655999999999715</v>
      </c>
      <c r="H185" s="59"/>
      <c r="M185" s="15"/>
    </row>
    <row r="186" spans="1:16" x14ac:dyDescent="0.3">
      <c r="A186" s="104"/>
      <c r="C186" s="107"/>
      <c r="D186" s="17" t="s">
        <v>24</v>
      </c>
      <c r="E186" s="75">
        <v>9.468</v>
      </c>
      <c r="F186" s="75">
        <v>4.4259999999999939</v>
      </c>
      <c r="G186" s="75">
        <v>2.625</v>
      </c>
      <c r="H186" s="59"/>
    </row>
    <row r="187" spans="1:16" s="25" customFormat="1" ht="17.399999999999999" customHeight="1" x14ac:dyDescent="0.3">
      <c r="A187" s="104"/>
      <c r="C187" s="107"/>
      <c r="D187" s="31" t="s">
        <v>26</v>
      </c>
      <c r="E187" s="28">
        <v>6.8979999999920958</v>
      </c>
      <c r="F187" s="28">
        <v>2.9549999999992713</v>
      </c>
      <c r="G187" s="28">
        <v>2.0209999999990567</v>
      </c>
      <c r="H187" s="59"/>
      <c r="I187"/>
      <c r="J187"/>
      <c r="K187"/>
      <c r="L187"/>
    </row>
    <row r="188" spans="1:16" x14ac:dyDescent="0.3">
      <c r="A188" s="104"/>
      <c r="C188" s="107"/>
      <c r="D188" s="17" t="s">
        <v>27</v>
      </c>
      <c r="E188" s="75">
        <v>4.9219999999999997</v>
      </c>
      <c r="F188" s="75">
        <v>2.0474999999999999</v>
      </c>
      <c r="G188" s="75">
        <v>1.6504999999999947</v>
      </c>
      <c r="H188" s="59"/>
    </row>
    <row r="189" spans="1:16" x14ac:dyDescent="0.3">
      <c r="A189" s="104"/>
      <c r="C189" s="107"/>
      <c r="D189" s="16" t="s">
        <v>28</v>
      </c>
      <c r="E189" s="34"/>
      <c r="F189" s="34">
        <v>1.5208999999999986</v>
      </c>
      <c r="G189" s="34">
        <v>1.2953999999999843</v>
      </c>
      <c r="H189" s="59"/>
    </row>
    <row r="190" spans="1:16" x14ac:dyDescent="0.3">
      <c r="A190" s="104"/>
      <c r="C190" s="59"/>
      <c r="D190" s="60"/>
      <c r="E190" s="59"/>
      <c r="F190" s="59"/>
      <c r="G190" s="59"/>
      <c r="H190" s="59"/>
    </row>
    <row r="191" spans="1:16" x14ac:dyDescent="0.3">
      <c r="A191" s="104"/>
      <c r="C191" s="59"/>
      <c r="D191" s="59"/>
      <c r="E191" s="2" t="str">
        <f>E181</f>
        <v>Porte-à-porte</v>
      </c>
      <c r="F191" s="2" t="str">
        <f>F181</f>
        <v>Mixte</v>
      </c>
      <c r="G191" s="2" t="str">
        <f>G181</f>
        <v>Apport volontaire</v>
      </c>
      <c r="H191" s="59"/>
      <c r="I191" s="59"/>
      <c r="J191" s="59"/>
      <c r="K191" s="59"/>
    </row>
    <row r="192" spans="1:16" x14ac:dyDescent="0.3">
      <c r="A192" s="104"/>
      <c r="C192" s="108" t="s">
        <v>40</v>
      </c>
      <c r="D192" s="5" t="s">
        <v>23</v>
      </c>
      <c r="E192" s="6"/>
      <c r="F192" s="6">
        <v>209.06940000000017</v>
      </c>
      <c r="G192" s="6">
        <v>83.919000000000935</v>
      </c>
      <c r="H192" s="59"/>
      <c r="I192" s="59"/>
      <c r="J192" s="59"/>
      <c r="K192" s="65"/>
      <c r="L192" s="15"/>
      <c r="M192" s="15"/>
    </row>
    <row r="193" spans="1:13" x14ac:dyDescent="0.3">
      <c r="A193" s="104"/>
      <c r="C193" s="108"/>
      <c r="D193" s="7" t="s">
        <v>24</v>
      </c>
      <c r="E193" s="76">
        <v>191.047</v>
      </c>
      <c r="F193" s="76">
        <v>145.10599999999982</v>
      </c>
      <c r="G193" s="76">
        <v>64.342000000000354</v>
      </c>
      <c r="H193" s="59"/>
      <c r="I193" s="59"/>
      <c r="J193" s="59"/>
      <c r="K193" s="65"/>
      <c r="L193" s="15"/>
      <c r="M193" s="15"/>
    </row>
    <row r="194" spans="1:13" x14ac:dyDescent="0.3">
      <c r="A194" s="104"/>
      <c r="C194" s="108"/>
      <c r="D194" s="5" t="s">
        <v>26</v>
      </c>
      <c r="E194" s="9">
        <v>168.73899999998156</v>
      </c>
      <c r="F194" s="9">
        <v>94.496999999887464</v>
      </c>
      <c r="G194" s="9">
        <v>53.401999999987332</v>
      </c>
      <c r="H194" s="59"/>
      <c r="I194" s="59"/>
      <c r="J194" s="59"/>
      <c r="K194" s="59"/>
    </row>
    <row r="195" spans="1:13" x14ac:dyDescent="0.3">
      <c r="A195" s="104"/>
      <c r="C195" s="108"/>
      <c r="D195" s="7" t="s">
        <v>27</v>
      </c>
      <c r="E195" s="10">
        <v>164.126</v>
      </c>
      <c r="F195" s="10">
        <v>64.198499999999981</v>
      </c>
      <c r="G195" s="10">
        <v>44.55949999999968</v>
      </c>
      <c r="H195" s="59"/>
      <c r="I195" s="59"/>
      <c r="J195" s="59"/>
      <c r="K195" s="59"/>
    </row>
    <row r="196" spans="1:13" x14ac:dyDescent="0.3">
      <c r="A196" s="104"/>
      <c r="C196" s="108"/>
      <c r="D196" s="5" t="s">
        <v>28</v>
      </c>
      <c r="E196" s="9"/>
      <c r="F196" s="9">
        <v>50.002699999999997</v>
      </c>
      <c r="G196" s="9">
        <v>35.841399999999723</v>
      </c>
      <c r="H196" s="59"/>
      <c r="I196" s="59"/>
      <c r="J196" s="59"/>
      <c r="K196" s="59"/>
    </row>
    <row r="197" spans="1:13" x14ac:dyDescent="0.3">
      <c r="A197" s="104"/>
      <c r="C197" s="67"/>
      <c r="D197" s="59"/>
      <c r="E197" s="59"/>
      <c r="F197" s="59"/>
      <c r="G197" s="59"/>
      <c r="H197" s="59"/>
      <c r="I197" s="59"/>
      <c r="J197" s="59"/>
      <c r="K197" s="59"/>
    </row>
    <row r="198" spans="1:13" x14ac:dyDescent="0.3">
      <c r="A198" s="104"/>
      <c r="C198" s="59"/>
      <c r="D198" s="60"/>
      <c r="E198" s="59"/>
      <c r="F198" s="59"/>
      <c r="G198" s="59"/>
      <c r="H198" s="59"/>
      <c r="I198" s="59"/>
      <c r="J198" s="59"/>
      <c r="K198" s="59"/>
    </row>
    <row r="199" spans="1:13" x14ac:dyDescent="0.3">
      <c r="A199" s="104"/>
      <c r="C199" s="59"/>
      <c r="D199" s="60"/>
      <c r="E199" s="59"/>
      <c r="F199" s="59"/>
      <c r="G199" s="59"/>
      <c r="H199" s="59"/>
      <c r="I199" s="59"/>
      <c r="J199" s="59"/>
      <c r="K199" s="59"/>
    </row>
    <row r="200" spans="1:13" x14ac:dyDescent="0.3">
      <c r="A200" s="104"/>
      <c r="C200" s="59"/>
      <c r="D200" s="60"/>
      <c r="E200" s="59"/>
      <c r="F200" s="59"/>
      <c r="G200" s="59"/>
      <c r="H200" s="59"/>
      <c r="I200" s="59"/>
      <c r="J200" s="59"/>
      <c r="K200" s="59"/>
    </row>
  </sheetData>
  <sheetProtection sheet="1" formatCells="0" formatColumns="0" insertColumns="0" insertRows="0" insertHyperlinks="0" deleteColumns="0" deleteRows="0" sort="0" autoFilter="0" pivotTables="0"/>
  <mergeCells count="58">
    <mergeCell ref="C179:M179"/>
    <mergeCell ref="D5:K5"/>
    <mergeCell ref="D6:K6"/>
    <mergeCell ref="D7:K7"/>
    <mergeCell ref="D8:K8"/>
    <mergeCell ref="D9:K9"/>
    <mergeCell ref="D13:K13"/>
    <mergeCell ref="C120:D120"/>
    <mergeCell ref="C140:D140"/>
    <mergeCell ref="C160:D160"/>
    <mergeCell ref="C78:M78"/>
    <mergeCell ref="C98:M98"/>
    <mergeCell ref="C139:M139"/>
    <mergeCell ref="C159:M159"/>
    <mergeCell ref="A58:A77"/>
    <mergeCell ref="C58:K58"/>
    <mergeCell ref="A98:A118"/>
    <mergeCell ref="C64:C68"/>
    <mergeCell ref="C71:C75"/>
    <mergeCell ref="A78:A97"/>
    <mergeCell ref="C84:C88"/>
    <mergeCell ref="C91:C95"/>
    <mergeCell ref="C105:C109"/>
    <mergeCell ref="C59:D59"/>
    <mergeCell ref="C79:D79"/>
    <mergeCell ref="C99:D99"/>
    <mergeCell ref="C112:C116"/>
    <mergeCell ref="C1:K1"/>
    <mergeCell ref="A16:A37"/>
    <mergeCell ref="C16:K16"/>
    <mergeCell ref="A38:A57"/>
    <mergeCell ref="C38:K38"/>
    <mergeCell ref="C24:C28"/>
    <mergeCell ref="C31:C35"/>
    <mergeCell ref="C44:C48"/>
    <mergeCell ref="C51:C55"/>
    <mergeCell ref="C17:D17"/>
    <mergeCell ref="C39:D39"/>
    <mergeCell ref="D2:K2"/>
    <mergeCell ref="D10:K10"/>
    <mergeCell ref="D11:K11"/>
    <mergeCell ref="D12:K12"/>
    <mergeCell ref="C192:C196"/>
    <mergeCell ref="A199:A200"/>
    <mergeCell ref="A179:A198"/>
    <mergeCell ref="C180:D180"/>
    <mergeCell ref="C119:M119"/>
    <mergeCell ref="C185:C189"/>
    <mergeCell ref="A159:A178"/>
    <mergeCell ref="C165:C169"/>
    <mergeCell ref="C172:C176"/>
    <mergeCell ref="A119:A130"/>
    <mergeCell ref="C125:C129"/>
    <mergeCell ref="A131:A138"/>
    <mergeCell ref="C132:C136"/>
    <mergeCell ref="A139:A158"/>
    <mergeCell ref="C145:C149"/>
    <mergeCell ref="C152:C156"/>
  </mergeCells>
  <phoneticPr fontId="13" type="noConversion"/>
  <hyperlinks>
    <hyperlink ref="D5" location="Verre!A20" display="Verre!A20" xr:uid="{00000000-0004-0000-0300-000000000000}"/>
    <hyperlink ref="D9" location="Verre!A112" display="Verre!A112" xr:uid="{00000000-0004-0000-0300-000001000000}"/>
    <hyperlink ref="D8" location="Verre!A94" display="Verre!A94" xr:uid="{00000000-0004-0000-0300-000002000000}"/>
    <hyperlink ref="D6" location="Verre!A51" display="Verre!A51" xr:uid="{00000000-0004-0000-0300-000003000000}"/>
    <hyperlink ref="D7" location="Verre!A83" display="Verre!A83" xr:uid="{00000000-0004-0000-0300-000004000000}"/>
    <hyperlink ref="D11" location="Verre!A179" display="Verre!A179" xr:uid="{00000000-0004-0000-0300-000005000000}"/>
    <hyperlink ref="D2" location="Sommaire!A1" display="Retour sommaire annexe" xr:uid="{00000000-0004-0000-0300-000006000000}"/>
    <hyperlink ref="C17" location="Verre!A1" display="Retour sommaire fiche" xr:uid="{00000000-0004-0000-0300-000007000000}"/>
    <hyperlink ref="D10" location="Verre!A142" display="Verre!A142" xr:uid="{00000000-0004-0000-0300-00000E000000}"/>
    <hyperlink ref="D12" location="Verre!A179" display="Verre!A179" xr:uid="{74039468-F0E9-473F-AD3F-D71B8EEDD9EF}"/>
    <hyperlink ref="D13" location="Verre!A179" display="Verre!A179" xr:uid="{69774B80-095F-49D1-A32C-1B183D523B1B}"/>
    <hyperlink ref="D5:G5" location="'Emb. Verre'!A17" display="Tableau 25 - Coûts de synthèse des emballages en verre" xr:uid="{4379BC13-2E81-49CF-A1B0-3770A37C5CE1}"/>
    <hyperlink ref="D6:G6" location="'Emb. Verre'!A40" display="Tableau 26 - Charges des emballages en verre par étape technique" xr:uid="{A345873E-0F7E-4C49-B26F-42CCF4E97CF4}"/>
    <hyperlink ref="D7:G7" location="'Emb. Verre'!A61" display="Tableau 27 - Produits des emballages en verre par nature" xr:uid="{53FC786B-C525-4DE5-9BEA-ED190999BA94}"/>
    <hyperlink ref="D8:G8" location="'Emb. Verre'!A81" display="Tableau 28 - Evolution du coût aidé HT des emballages en verre" xr:uid="{5CB3A723-550B-4B32-9A55-22E4A0AED289}"/>
    <hyperlink ref="D9:G9" location="'Emb. Verre'!A101" display="Tableau 29 - Coûts aidés HT des emballages en verre selon la typologie d'habitat" xr:uid="{AF139CC0-1081-45E4-B8E1-35DD2BF77EF1}"/>
    <hyperlink ref="D10:G10" location="'Emb. Verre'!A124" display="Tableau 30 - Coût aidé HT par mode de collecte" xr:uid="{B0791F0B-D556-489C-9F8A-A170A65143E5}"/>
    <hyperlink ref="D11:G11" location="'Emb. Verre'!A144" display="Tableau 31 - Charges de pré-collecte et de collecte selon le mode de collecte" xr:uid="{0A0A54FA-3E35-41C6-B863-9DFAC4441D5F}"/>
    <hyperlink ref="D12:G12" location="'Emb. Verre'!A164" display="Tableau 32 - Charges de pré-collecte des emballages en verre par mode de collecte" xr:uid="{4F7936A4-3F01-4BED-87AD-4A178016CCBE}"/>
    <hyperlink ref="D13:G13" location="'Emb. Verre'!A184" display="Tableau 33 - Charges de collecte des emballages en verre par mode de collecte" xr:uid="{CEE682CF-B059-4E21-813E-98D7D4CDDB17}"/>
    <hyperlink ref="C17:D17" location="'Emb. Verre'!A1" display="Retour sommaire fiche" xr:uid="{FF02DA14-911D-4632-89D5-AFAD0C2BA730}"/>
    <hyperlink ref="C39" location="Verre!A1" display="Retour sommaire fiche" xr:uid="{0D894BD7-B371-47D6-A117-678D1C901DED}"/>
    <hyperlink ref="C39:D39" location="'Emb. Verre'!A1" display="Retour sommaire fiche" xr:uid="{4A7CAE49-981A-4E62-9B43-9008955B2F9F}"/>
    <hyperlink ref="C59" location="Verre!A1" display="Retour sommaire fiche" xr:uid="{4B3E3E0E-FE48-4B52-8DE0-C5C805B3604E}"/>
    <hyperlink ref="C59:D59" location="'Emb. Verre'!A1" display="Retour sommaire fiche" xr:uid="{55F925D6-D36E-43E7-8C71-BE4D3B58CD2E}"/>
    <hyperlink ref="C79" location="Verre!A1" display="Retour sommaire fiche" xr:uid="{69CC2260-196E-44AB-9046-80478F8F1848}"/>
    <hyperlink ref="C79:D79" location="'Emb. Verre'!A1" display="Retour sommaire fiche" xr:uid="{0D2EBE6D-C22E-49C0-9D49-ED05AF967FB6}"/>
    <hyperlink ref="C99" location="Verre!A1" display="Retour sommaire fiche" xr:uid="{DF70FEF3-054B-4BA3-8481-B64F0E929103}"/>
    <hyperlink ref="C99:D99" location="'Emb. Verre'!A1" display="Retour sommaire fiche" xr:uid="{E637E76B-C391-4A78-9E4C-C58218AB7DA4}"/>
    <hyperlink ref="C120" location="Verre!A1" display="Retour sommaire fiche" xr:uid="{F0639577-4439-44D1-91FF-169DF0AF6329}"/>
    <hyperlink ref="C120:D120" location="'Emb. Verre'!A1" display="Retour sommaire fiche" xr:uid="{BEE6DC51-53E0-490D-9FFF-E129210D1D7C}"/>
    <hyperlink ref="C140" location="Verre!A1" display="Retour sommaire fiche" xr:uid="{7A4E94F6-5021-4D1B-BA54-38CC897C2576}"/>
    <hyperlink ref="C140:D140" location="'Emb. Verre'!A1" display="Retour sommaire fiche" xr:uid="{09E534B5-CC9D-4939-8400-454B3B9E2FB5}"/>
    <hyperlink ref="C160" location="Verre!A1" display="Retour sommaire fiche" xr:uid="{8B779696-5FDC-4A3C-8DBE-A202645E8C09}"/>
    <hyperlink ref="C160:D160" location="'Emb. Verre'!A1" display="Retour sommaire fiche" xr:uid="{6505AFDC-3F86-40C6-AE96-513535684D7D}"/>
    <hyperlink ref="C180" location="Verre!A1" display="Retour sommaire fiche" xr:uid="{727463DF-7C3F-4B9D-BAFA-541F2124EBC4}"/>
    <hyperlink ref="C180:D180" location="'Emb. Verre'!A1" display="Retour sommaire fiche" xr:uid="{9424FD2A-C29D-46E8-92A1-F1B55907CD98}"/>
    <hyperlink ref="D5:K5" location="'Emb. Verre'!A16" display="Emballages verre - Coûts de synthèse" xr:uid="{8E186390-36EC-47E2-86F0-9D7F40CF5685}"/>
    <hyperlink ref="D6:K6" location="'Emb. Verre'!A38" display="Emballages verre - Charges par étape technique" xr:uid="{308E542A-FEAD-4C58-948C-3B190E19B268}"/>
    <hyperlink ref="D7:K7" location="'Emb. Verre'!A58" display="Emballages verre - Produits par nature" xr:uid="{D5BE53AC-5D45-4471-9906-CFDCF1DF1198}"/>
    <hyperlink ref="D8:K8" location="'Emb. Verre'!A78" display="Emballages verre - Évolution du coût aidé HT" xr:uid="{AD41A990-6493-49FD-8449-F38CB30EE762}"/>
    <hyperlink ref="D9:K9" location="'Emb. Verre'!A98" display="Emballages verre - Coût aidé HT et typologie d'habitat" xr:uid="{A592E2CA-BF66-4D1F-A8E0-7F61E6132914}"/>
    <hyperlink ref="D10:K10" location="'Emb. Verre'!A119" display="Emballages verre - Coût aidé HT et mode de collecte" xr:uid="{77057D88-E499-4ED3-AED8-20B570C84E25}"/>
    <hyperlink ref="D11:K11" location="'Emb. Verre'!A139" display="Emballages verre - Charges de pré-collecte et de collecte et mode de collecte" xr:uid="{BE00ABEE-687D-4628-B2C9-030B7ED55D43}"/>
    <hyperlink ref="D12:K12" location="'Emb. Verre'!A159" display="Emballages verre - Charges de pré-collecte et mode de collecte" xr:uid="{A2BC79FE-8EF5-4803-848E-ABA1F0D86C74}"/>
    <hyperlink ref="D13:K13" location="'Emb. Verre'!A179" display="Emballages verre - Charges de collecte et mode de collecte" xr:uid="{64D263FB-9387-47AC-8CD8-4DFFECFD5D9D}"/>
  </hyperlinks>
  <pageMargins left="0.70866141732283472" right="0.70866141732283472" top="0.74803149606299213" bottom="0.74803149606299213" header="0.31496062992125984" footer="0.31496062992125984"/>
  <pageSetup paperSize="9" scale="59" fitToHeight="10" orientation="portrait" r:id="rId1"/>
  <rowBreaks count="2" manualBreakCount="2">
    <brk id="97" min="2" max="10" man="1"/>
    <brk id="138" min="2" max="1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79"/>
  <sheetViews>
    <sheetView showGridLines="0" topLeftCell="C1" zoomScaleNormal="100" workbookViewId="0">
      <selection activeCell="D221" sqref="D221"/>
    </sheetView>
  </sheetViews>
  <sheetFormatPr baseColWidth="10" defaultColWidth="11.44140625" defaultRowHeight="14.4" x14ac:dyDescent="0.3"/>
  <cols>
    <col min="1" max="2" width="11.44140625" hidden="1" customWidth="1"/>
    <col min="3" max="3" width="3.33203125" customWidth="1"/>
    <col min="4" max="4" width="25.33203125" style="1" bestFit="1" customWidth="1"/>
    <col min="5" max="13" width="15.88671875" customWidth="1"/>
    <col min="14" max="18" width="16.6640625" customWidth="1"/>
  </cols>
  <sheetData>
    <row r="1" spans="3:13" ht="18" x14ac:dyDescent="0.35">
      <c r="C1" s="81" t="s">
        <v>0</v>
      </c>
      <c r="D1" s="81"/>
      <c r="E1" s="81"/>
      <c r="F1" s="81"/>
      <c r="G1" s="81"/>
      <c r="H1" s="81"/>
      <c r="I1" s="81"/>
      <c r="J1" s="81"/>
      <c r="K1" s="81"/>
      <c r="L1" s="81"/>
      <c r="M1" s="81"/>
    </row>
    <row r="2" spans="3:13" x14ac:dyDescent="0.3">
      <c r="C2" s="59"/>
      <c r="D2" s="99" t="s">
        <v>12</v>
      </c>
      <c r="E2" s="99"/>
      <c r="F2" s="99"/>
      <c r="G2" s="99"/>
      <c r="H2" s="99"/>
      <c r="I2" s="99"/>
      <c r="J2" s="99"/>
      <c r="K2" s="99"/>
      <c r="L2" s="11"/>
      <c r="M2" s="59"/>
    </row>
    <row r="3" spans="3:13" x14ac:dyDescent="0.3">
      <c r="C3" s="59"/>
      <c r="D3" s="60"/>
      <c r="E3" s="59"/>
      <c r="F3" s="59"/>
      <c r="G3" s="59"/>
      <c r="K3" s="59"/>
      <c r="L3" s="60"/>
      <c r="M3" s="59"/>
    </row>
    <row r="4" spans="3:13" x14ac:dyDescent="0.3">
      <c r="C4" s="59"/>
      <c r="D4" s="60"/>
      <c r="E4" s="59"/>
      <c r="F4" s="59"/>
      <c r="G4" s="59"/>
      <c r="K4" s="59"/>
      <c r="L4" s="70"/>
      <c r="M4" s="59"/>
    </row>
    <row r="5" spans="3:13" x14ac:dyDescent="0.3">
      <c r="C5" s="59"/>
      <c r="D5" s="99" t="s">
        <v>77</v>
      </c>
      <c r="E5" s="99"/>
      <c r="F5" s="99"/>
      <c r="G5" s="99"/>
      <c r="H5" s="99"/>
      <c r="I5" s="99"/>
      <c r="J5" s="99"/>
      <c r="K5" s="99"/>
      <c r="L5" s="11"/>
      <c r="M5" s="59"/>
    </row>
    <row r="6" spans="3:13" x14ac:dyDescent="0.3">
      <c r="C6" s="59"/>
      <c r="D6" s="99" t="s">
        <v>78</v>
      </c>
      <c r="E6" s="99"/>
      <c r="F6" s="99"/>
      <c r="G6" s="99"/>
      <c r="H6" s="99"/>
      <c r="I6" s="99"/>
      <c r="J6" s="99"/>
      <c r="K6" s="99"/>
      <c r="L6" s="11"/>
      <c r="M6" s="59"/>
    </row>
    <row r="7" spans="3:13" x14ac:dyDescent="0.3">
      <c r="C7" s="59"/>
      <c r="D7" s="99" t="s">
        <v>79</v>
      </c>
      <c r="E7" s="99"/>
      <c r="F7" s="99"/>
      <c r="G7" s="99"/>
      <c r="H7" s="99"/>
      <c r="I7" s="99"/>
      <c r="J7" s="99"/>
      <c r="K7" s="99"/>
      <c r="L7" s="11"/>
      <c r="M7" s="59"/>
    </row>
    <row r="8" spans="3:13" x14ac:dyDescent="0.3">
      <c r="C8" s="59"/>
      <c r="D8" s="99" t="s">
        <v>80</v>
      </c>
      <c r="E8" s="99"/>
      <c r="F8" s="99"/>
      <c r="G8" s="99"/>
      <c r="H8" s="99"/>
      <c r="I8" s="99"/>
      <c r="J8" s="99"/>
      <c r="K8" s="99"/>
      <c r="L8" s="11"/>
      <c r="M8" s="59"/>
    </row>
    <row r="9" spans="3:13" x14ac:dyDescent="0.3">
      <c r="C9" s="59"/>
      <c r="D9" s="99" t="s">
        <v>81</v>
      </c>
      <c r="E9" s="99"/>
      <c r="F9" s="99"/>
      <c r="G9" s="99"/>
      <c r="H9" s="99"/>
      <c r="I9" s="99"/>
      <c r="J9" s="99"/>
      <c r="K9" s="99"/>
      <c r="L9" s="11"/>
      <c r="M9" s="59"/>
    </row>
    <row r="10" spans="3:13" x14ac:dyDescent="0.3">
      <c r="C10" s="59"/>
      <c r="D10" s="99" t="s">
        <v>82</v>
      </c>
      <c r="E10" s="99"/>
      <c r="F10" s="99"/>
      <c r="G10" s="99"/>
      <c r="H10" s="99"/>
      <c r="I10" s="99"/>
      <c r="J10" s="99"/>
      <c r="K10" s="99"/>
      <c r="L10" s="11"/>
      <c r="M10" s="59"/>
    </row>
    <row r="11" spans="3:13" x14ac:dyDescent="0.3">
      <c r="C11" s="59"/>
      <c r="D11" s="99" t="s">
        <v>83</v>
      </c>
      <c r="E11" s="99"/>
      <c r="F11" s="99"/>
      <c r="G11" s="99"/>
      <c r="H11" s="99"/>
      <c r="I11" s="99"/>
      <c r="J11" s="99"/>
      <c r="K11" s="99"/>
      <c r="L11" s="11"/>
      <c r="M11" s="59"/>
    </row>
    <row r="12" spans="3:13" x14ac:dyDescent="0.3">
      <c r="C12" s="59"/>
      <c r="D12" s="99" t="s">
        <v>84</v>
      </c>
      <c r="E12" s="99"/>
      <c r="F12" s="99"/>
      <c r="G12" s="99"/>
      <c r="H12" s="99"/>
      <c r="I12" s="99"/>
      <c r="J12" s="99"/>
      <c r="K12" s="99"/>
      <c r="L12" s="11"/>
      <c r="M12" s="59"/>
    </row>
    <row r="13" spans="3:13" x14ac:dyDescent="0.3">
      <c r="C13" s="59"/>
      <c r="D13" s="99" t="s">
        <v>85</v>
      </c>
      <c r="E13" s="99"/>
      <c r="F13" s="99"/>
      <c r="G13" s="99"/>
      <c r="H13" s="99"/>
      <c r="I13" s="99"/>
      <c r="J13" s="99"/>
      <c r="K13" s="99"/>
      <c r="L13" s="11"/>
      <c r="M13" s="59"/>
    </row>
    <row r="14" spans="3:13" x14ac:dyDescent="0.3">
      <c r="C14" s="59"/>
      <c r="D14" s="99" t="s">
        <v>86</v>
      </c>
      <c r="E14" s="99"/>
      <c r="F14" s="99"/>
      <c r="G14" s="99"/>
      <c r="H14" s="99"/>
      <c r="I14" s="99"/>
      <c r="J14" s="99"/>
      <c r="K14" s="99"/>
      <c r="L14" s="11"/>
      <c r="M14" s="59"/>
    </row>
    <row r="15" spans="3:13" x14ac:dyDescent="0.3">
      <c r="C15" s="59"/>
      <c r="D15" s="99" t="s">
        <v>156</v>
      </c>
      <c r="E15" s="99"/>
      <c r="F15" s="99"/>
      <c r="G15" s="99"/>
      <c r="H15" s="99"/>
      <c r="I15" s="99"/>
      <c r="J15" s="99"/>
      <c r="K15" s="99"/>
      <c r="L15" s="11"/>
      <c r="M15" s="59"/>
    </row>
    <row r="16" spans="3:13" x14ac:dyDescent="0.3">
      <c r="C16" s="59"/>
      <c r="D16" s="99" t="s">
        <v>162</v>
      </c>
      <c r="E16" s="99"/>
      <c r="F16" s="99"/>
      <c r="G16" s="99"/>
      <c r="H16" s="99"/>
      <c r="I16" s="99"/>
      <c r="J16" s="99"/>
      <c r="K16" s="99"/>
      <c r="L16" s="11"/>
      <c r="M16" s="59"/>
    </row>
    <row r="17" spans="1:13" x14ac:dyDescent="0.3">
      <c r="C17" s="59"/>
      <c r="D17" s="99" t="s">
        <v>163</v>
      </c>
      <c r="E17" s="99"/>
      <c r="F17" s="99"/>
      <c r="G17" s="99"/>
      <c r="H17" s="99"/>
      <c r="I17" s="99"/>
      <c r="J17" s="99"/>
      <c r="K17" s="99"/>
      <c r="L17" s="11"/>
      <c r="M17" s="59"/>
    </row>
    <row r="18" spans="1:13" x14ac:dyDescent="0.3">
      <c r="C18" s="59"/>
      <c r="D18" s="99" t="s">
        <v>164</v>
      </c>
      <c r="E18" s="99"/>
      <c r="F18" s="99"/>
      <c r="G18" s="99"/>
      <c r="H18" s="99"/>
      <c r="I18" s="99"/>
      <c r="J18" s="99"/>
      <c r="K18" s="99"/>
      <c r="L18" s="11"/>
      <c r="M18" s="59"/>
    </row>
    <row r="19" spans="1:13" x14ac:dyDescent="0.3">
      <c r="C19" s="59"/>
      <c r="D19" s="99" t="s">
        <v>165</v>
      </c>
      <c r="E19" s="99"/>
      <c r="F19" s="99"/>
      <c r="G19" s="99"/>
      <c r="H19" s="99"/>
      <c r="I19" s="99"/>
      <c r="J19" s="99"/>
      <c r="K19" s="99"/>
      <c r="L19" s="11"/>
      <c r="M19" s="59"/>
    </row>
    <row r="20" spans="1:13" x14ac:dyDescent="0.3">
      <c r="C20" s="59"/>
      <c r="D20" s="99" t="s">
        <v>166</v>
      </c>
      <c r="E20" s="99"/>
      <c r="F20" s="99"/>
      <c r="G20" s="99"/>
      <c r="H20" s="99"/>
      <c r="I20" s="99"/>
      <c r="J20" s="99"/>
      <c r="K20" s="99"/>
      <c r="L20" s="11"/>
      <c r="M20" s="59"/>
    </row>
    <row r="21" spans="1:13" x14ac:dyDescent="0.3">
      <c r="C21" s="59"/>
      <c r="D21" s="99" t="s">
        <v>167</v>
      </c>
      <c r="E21" s="99"/>
      <c r="F21" s="99"/>
      <c r="G21" s="99"/>
      <c r="H21" s="99"/>
      <c r="I21" s="99"/>
      <c r="J21" s="99"/>
      <c r="K21" s="99"/>
      <c r="L21" s="11"/>
      <c r="M21" s="59"/>
    </row>
    <row r="22" spans="1:13" x14ac:dyDescent="0.3">
      <c r="C22" s="59"/>
      <c r="D22" s="60"/>
      <c r="E22" s="59"/>
      <c r="F22" s="59"/>
      <c r="G22" s="59"/>
      <c r="H22" s="59"/>
      <c r="I22" s="59"/>
      <c r="J22" s="59"/>
      <c r="K22" s="59"/>
      <c r="L22" s="60"/>
      <c r="M22" s="59"/>
    </row>
    <row r="23" spans="1:13" x14ac:dyDescent="0.3">
      <c r="C23" s="59"/>
      <c r="D23" s="60"/>
      <c r="E23" s="59"/>
      <c r="F23" s="59"/>
      <c r="G23" s="59"/>
      <c r="H23" s="59"/>
      <c r="I23" s="59"/>
      <c r="J23" s="59"/>
      <c r="K23" s="59"/>
      <c r="L23" s="59"/>
      <c r="M23" s="59"/>
    </row>
    <row r="24" spans="1:13" ht="18" x14ac:dyDescent="0.35">
      <c r="A24" s="104"/>
      <c r="C24" s="81" t="str">
        <f>D5</f>
        <v>Papiers et emballages hors verre - Coûts de synthèse</v>
      </c>
      <c r="D24" s="81"/>
      <c r="E24" s="81"/>
      <c r="F24" s="81"/>
      <c r="G24" s="81"/>
      <c r="H24" s="81"/>
      <c r="I24" s="81"/>
      <c r="J24" s="81"/>
      <c r="K24" s="81"/>
      <c r="L24" s="81"/>
      <c r="M24" s="81"/>
    </row>
    <row r="25" spans="1:13" x14ac:dyDescent="0.3">
      <c r="A25" s="104"/>
      <c r="C25" s="106" t="s">
        <v>35</v>
      </c>
      <c r="D25" s="106"/>
      <c r="E25" s="59"/>
      <c r="F25" s="59"/>
      <c r="G25" s="59"/>
      <c r="H25" s="59"/>
      <c r="I25" s="59"/>
      <c r="J25" s="59"/>
      <c r="K25" s="59"/>
      <c r="L25" s="59"/>
      <c r="M25" s="59"/>
    </row>
    <row r="26" spans="1:13" x14ac:dyDescent="0.3">
      <c r="A26" s="104"/>
      <c r="C26" s="59"/>
      <c r="D26" s="59"/>
      <c r="E26" s="2" t="s">
        <v>19</v>
      </c>
      <c r="F26" s="2" t="s">
        <v>20</v>
      </c>
      <c r="G26" s="2" t="s">
        <v>21</v>
      </c>
      <c r="H26" s="2" t="s">
        <v>22</v>
      </c>
      <c r="I26" s="59"/>
      <c r="J26" s="59"/>
      <c r="K26" s="59"/>
      <c r="L26" s="59"/>
      <c r="M26" s="59"/>
    </row>
    <row r="27" spans="1:13" x14ac:dyDescent="0.3">
      <c r="A27" s="104"/>
      <c r="C27" s="59"/>
      <c r="D27" s="3" t="s">
        <v>36</v>
      </c>
      <c r="E27" s="4">
        <v>443</v>
      </c>
      <c r="F27" s="4">
        <v>597</v>
      </c>
      <c r="G27" s="4">
        <f>F27</f>
        <v>597</v>
      </c>
      <c r="H27" s="4">
        <f>F27</f>
        <v>597</v>
      </c>
      <c r="I27" s="59"/>
      <c r="J27" s="59"/>
      <c r="K27" s="59"/>
      <c r="L27" s="59"/>
      <c r="M27" s="59"/>
    </row>
    <row r="28" spans="1:13" x14ac:dyDescent="0.3">
      <c r="A28" s="104"/>
      <c r="C28" s="59"/>
      <c r="D28" s="3" t="s">
        <v>37</v>
      </c>
      <c r="E28" s="79">
        <v>23188175</v>
      </c>
      <c r="F28" s="79">
        <v>36422353</v>
      </c>
      <c r="G28" s="79">
        <f>F28</f>
        <v>36422353</v>
      </c>
      <c r="H28" s="79">
        <f>F28</f>
        <v>36422353</v>
      </c>
      <c r="I28" s="59"/>
      <c r="J28" s="59"/>
      <c r="K28" s="59"/>
      <c r="L28" s="59"/>
      <c r="M28" s="59"/>
    </row>
    <row r="29" spans="1:13" x14ac:dyDescent="0.3">
      <c r="A29" s="104"/>
      <c r="C29" s="59"/>
      <c r="D29" s="3" t="s">
        <v>38</v>
      </c>
      <c r="E29" s="71">
        <v>51.795437813397264</v>
      </c>
      <c r="F29" s="71">
        <v>50.687136871279897</v>
      </c>
      <c r="G29" s="71">
        <f>F29</f>
        <v>50.687136871279897</v>
      </c>
      <c r="H29" s="71">
        <f>F29</f>
        <v>50.687136871279897</v>
      </c>
      <c r="I29" s="59"/>
      <c r="J29" s="59"/>
      <c r="K29" s="59"/>
      <c r="L29" s="59"/>
      <c r="M29" s="59"/>
    </row>
    <row r="30" spans="1:13" x14ac:dyDescent="0.3">
      <c r="A30" s="104"/>
      <c r="C30" s="59"/>
      <c r="D30" s="60"/>
      <c r="E30" s="59"/>
      <c r="F30" s="59"/>
      <c r="G30" s="59"/>
      <c r="H30" s="59"/>
      <c r="I30" s="59"/>
      <c r="J30" s="59"/>
      <c r="K30" s="59"/>
      <c r="L30" s="59"/>
      <c r="M30" s="59"/>
    </row>
    <row r="31" spans="1:13" x14ac:dyDescent="0.3">
      <c r="A31" s="104"/>
      <c r="C31" s="59"/>
      <c r="D31" s="59"/>
      <c r="E31" s="2" t="s">
        <v>19</v>
      </c>
      <c r="F31" s="2" t="s">
        <v>20</v>
      </c>
      <c r="G31" s="2" t="s">
        <v>21</v>
      </c>
      <c r="H31" s="2" t="s">
        <v>22</v>
      </c>
      <c r="I31" s="59"/>
      <c r="J31" s="59"/>
      <c r="K31" s="59"/>
      <c r="L31" s="59"/>
      <c r="M31" s="59"/>
    </row>
    <row r="32" spans="1:13" x14ac:dyDescent="0.3">
      <c r="A32" s="104"/>
      <c r="C32" s="107" t="s">
        <v>39</v>
      </c>
      <c r="D32" s="17" t="s">
        <v>23</v>
      </c>
      <c r="E32" s="33">
        <v>46.360000000000007</v>
      </c>
      <c r="F32" s="33">
        <v>42.389000000000017</v>
      </c>
      <c r="G32" s="33">
        <v>28.165400000000005</v>
      </c>
      <c r="H32" s="33">
        <v>28.038400000000003</v>
      </c>
      <c r="I32" s="59"/>
      <c r="J32" s="59"/>
      <c r="K32" s="59"/>
      <c r="L32" s="59"/>
      <c r="M32" s="59"/>
    </row>
    <row r="33" spans="1:14" x14ac:dyDescent="0.3">
      <c r="A33" s="104"/>
      <c r="C33" s="107"/>
      <c r="D33" s="16" t="s">
        <v>24</v>
      </c>
      <c r="E33" s="34">
        <v>39.256999999999998</v>
      </c>
      <c r="F33" s="34">
        <v>34.947999999999993</v>
      </c>
      <c r="G33" s="34">
        <v>20.913499999999999</v>
      </c>
      <c r="H33" s="34">
        <v>20.821999999999999</v>
      </c>
      <c r="I33" s="59"/>
      <c r="J33" s="59"/>
      <c r="K33" s="59"/>
      <c r="L33" s="59"/>
      <c r="M33" s="59"/>
    </row>
    <row r="34" spans="1:14" s="25" customFormat="1" ht="16.95" customHeight="1" x14ac:dyDescent="0.3">
      <c r="A34" s="104"/>
      <c r="C34" s="107"/>
      <c r="D34" s="35" t="s">
        <v>25</v>
      </c>
      <c r="E34" s="33">
        <v>32.401013315403347</v>
      </c>
      <c r="F34" s="33">
        <v>28.203666369633297</v>
      </c>
      <c r="G34" s="33">
        <v>16.628299529583401</v>
      </c>
      <c r="H34" s="33">
        <v>16.47560088067041</v>
      </c>
      <c r="I34" s="64"/>
      <c r="J34" s="59"/>
      <c r="K34" s="59"/>
      <c r="L34" s="59"/>
      <c r="M34" s="59"/>
      <c r="N34"/>
    </row>
    <row r="35" spans="1:14" x14ac:dyDescent="0.3">
      <c r="A35" s="104"/>
      <c r="C35" s="107"/>
      <c r="D35" s="16" t="s">
        <v>27</v>
      </c>
      <c r="E35" s="34">
        <v>27.346</v>
      </c>
      <c r="F35" s="34">
        <v>23.477499999999999</v>
      </c>
      <c r="G35" s="34">
        <v>10.29</v>
      </c>
      <c r="H35" s="34">
        <v>10.102</v>
      </c>
      <c r="I35" s="59"/>
      <c r="J35" s="59"/>
      <c r="K35" s="59"/>
      <c r="L35" s="59"/>
      <c r="M35" s="59"/>
    </row>
    <row r="36" spans="1:14" x14ac:dyDescent="0.3">
      <c r="A36" s="104"/>
      <c r="C36" s="107"/>
      <c r="D36" s="17" t="s">
        <v>28</v>
      </c>
      <c r="E36" s="33">
        <v>20.985000000000003</v>
      </c>
      <c r="F36" s="33">
        <v>17.703199999999999</v>
      </c>
      <c r="G36" s="33">
        <v>6.7278000000000002</v>
      </c>
      <c r="H36" s="33">
        <v>6.6434000000000006</v>
      </c>
      <c r="I36" s="59"/>
      <c r="J36" s="59"/>
      <c r="K36" s="59"/>
      <c r="L36" s="59"/>
      <c r="M36" s="59"/>
    </row>
    <row r="37" spans="1:14" x14ac:dyDescent="0.3">
      <c r="A37" s="104"/>
      <c r="C37" s="59"/>
      <c r="D37" s="59"/>
      <c r="E37" s="61"/>
      <c r="F37" s="61"/>
      <c r="G37" s="61"/>
      <c r="H37" s="61"/>
      <c r="I37" s="59"/>
      <c r="J37" s="59"/>
      <c r="K37" s="59"/>
      <c r="L37" s="59"/>
      <c r="M37" s="59"/>
    </row>
    <row r="38" spans="1:14" x14ac:dyDescent="0.3">
      <c r="A38" s="104"/>
      <c r="C38" s="59"/>
      <c r="D38" s="59"/>
      <c r="E38" s="2" t="s">
        <v>19</v>
      </c>
      <c r="F38" s="2" t="s">
        <v>20</v>
      </c>
      <c r="G38" s="2" t="s">
        <v>21</v>
      </c>
      <c r="H38" s="2" t="s">
        <v>22</v>
      </c>
      <c r="I38" s="59"/>
      <c r="J38" s="59"/>
      <c r="K38" s="59"/>
      <c r="L38" s="59"/>
      <c r="M38" s="59"/>
    </row>
    <row r="39" spans="1:14" x14ac:dyDescent="0.3">
      <c r="A39" s="104"/>
      <c r="C39" s="108" t="s">
        <v>40</v>
      </c>
      <c r="D39" s="7" t="s">
        <v>23</v>
      </c>
      <c r="E39" s="8">
        <v>775.47840000000008</v>
      </c>
      <c r="F39" s="8">
        <v>709.31000000000006</v>
      </c>
      <c r="G39" s="8">
        <v>494.6164</v>
      </c>
      <c r="H39" s="8">
        <v>481.78660000000031</v>
      </c>
      <c r="J39" s="59"/>
      <c r="K39" s="59"/>
      <c r="L39" s="59"/>
      <c r="M39" s="59"/>
    </row>
    <row r="40" spans="1:14" x14ac:dyDescent="0.3">
      <c r="A40" s="104"/>
      <c r="C40" s="108"/>
      <c r="D40" s="5" t="s">
        <v>24</v>
      </c>
      <c r="E40" s="9">
        <v>689.46699999999998</v>
      </c>
      <c r="F40" s="9">
        <v>619.12049999999999</v>
      </c>
      <c r="G40" s="9">
        <v>387.49149999999997</v>
      </c>
      <c r="H40" s="9">
        <v>383.72749999999996</v>
      </c>
      <c r="J40" s="59"/>
      <c r="K40" s="59"/>
      <c r="L40" s="59"/>
      <c r="M40" s="59"/>
    </row>
    <row r="41" spans="1:14" x14ac:dyDescent="0.3">
      <c r="A41" s="104"/>
      <c r="C41" s="108"/>
      <c r="D41" s="7" t="s">
        <v>25</v>
      </c>
      <c r="E41" s="8">
        <v>618.94226880664087</v>
      </c>
      <c r="F41" s="8">
        <v>553.27337932680302</v>
      </c>
      <c r="G41" s="8">
        <v>324.3626294984216</v>
      </c>
      <c r="H41" s="8">
        <v>321.26626851316342</v>
      </c>
      <c r="J41" s="59"/>
      <c r="K41" s="59"/>
      <c r="L41" s="59"/>
      <c r="M41" s="59"/>
    </row>
    <row r="42" spans="1:14" x14ac:dyDescent="0.3">
      <c r="A42" s="104"/>
      <c r="C42" s="108"/>
      <c r="D42" s="5" t="s">
        <v>27</v>
      </c>
      <c r="E42" s="9">
        <v>512.92200000000003</v>
      </c>
      <c r="F42" s="9">
        <v>447.726</v>
      </c>
      <c r="G42" s="9">
        <v>195.17000000000002</v>
      </c>
      <c r="H42" s="9">
        <v>193.126</v>
      </c>
      <c r="J42" s="59"/>
      <c r="K42" s="59"/>
      <c r="L42" s="59"/>
      <c r="M42" s="59"/>
    </row>
    <row r="43" spans="1:14" x14ac:dyDescent="0.3">
      <c r="A43" s="104"/>
      <c r="C43" s="108"/>
      <c r="D43" s="7" t="s">
        <v>28</v>
      </c>
      <c r="E43" s="8">
        <v>454.26499999999999</v>
      </c>
      <c r="F43" s="8">
        <v>392.29739999999998</v>
      </c>
      <c r="G43" s="8">
        <v>129.226</v>
      </c>
      <c r="H43" s="8">
        <v>127.72460000000001</v>
      </c>
      <c r="K43" s="59"/>
      <c r="L43" s="59"/>
      <c r="M43" s="59"/>
    </row>
    <row r="44" spans="1:14" x14ac:dyDescent="0.3">
      <c r="A44" s="104"/>
      <c r="C44" s="59"/>
      <c r="D44" s="60"/>
      <c r="E44" s="59"/>
      <c r="F44" s="59"/>
      <c r="G44" s="59"/>
      <c r="H44" s="59"/>
      <c r="I44" s="59"/>
      <c r="J44" s="59"/>
      <c r="K44" s="59"/>
      <c r="L44" s="59"/>
      <c r="M44" s="59"/>
    </row>
    <row r="45" spans="1:14" x14ac:dyDescent="0.3">
      <c r="A45" s="104"/>
      <c r="C45" s="59"/>
      <c r="D45" s="60"/>
      <c r="E45" s="59"/>
      <c r="F45" s="59"/>
      <c r="G45" s="59"/>
      <c r="H45" s="59"/>
      <c r="I45" s="59"/>
      <c r="J45" s="59"/>
      <c r="K45" s="59"/>
      <c r="L45" s="59"/>
      <c r="M45" s="59"/>
    </row>
    <row r="46" spans="1:14" ht="18" x14ac:dyDescent="0.35">
      <c r="A46" s="104"/>
      <c r="C46" s="81" t="str">
        <f>D6</f>
        <v>Papiers et emballages hors verre - Charges par étape technique</v>
      </c>
      <c r="D46" s="81"/>
      <c r="E46" s="81"/>
      <c r="F46" s="81"/>
      <c r="G46" s="81"/>
      <c r="H46" s="81"/>
      <c r="I46" s="81"/>
      <c r="J46" s="81"/>
      <c r="K46" s="81"/>
      <c r="L46" s="81"/>
      <c r="M46" s="81"/>
    </row>
    <row r="47" spans="1:14" x14ac:dyDescent="0.3">
      <c r="A47" s="104"/>
      <c r="C47" s="106" t="s">
        <v>35</v>
      </c>
      <c r="D47" s="106"/>
      <c r="E47" s="59"/>
      <c r="F47" s="59"/>
      <c r="G47" s="59"/>
      <c r="H47" s="59"/>
      <c r="I47" s="59"/>
      <c r="J47" s="59"/>
      <c r="K47" s="59"/>
      <c r="L47" s="59"/>
      <c r="M47" s="59"/>
    </row>
    <row r="48" spans="1:14" x14ac:dyDescent="0.3">
      <c r="A48" s="104"/>
      <c r="C48" s="59"/>
      <c r="D48" s="59"/>
      <c r="E48" s="2" t="s">
        <v>55</v>
      </c>
      <c r="F48" s="2" t="s">
        <v>56</v>
      </c>
      <c r="G48" s="2" t="s">
        <v>57</v>
      </c>
      <c r="H48" s="2" t="s">
        <v>58</v>
      </c>
      <c r="I48" s="59"/>
      <c r="J48" s="59"/>
      <c r="K48" s="59"/>
      <c r="L48" s="59"/>
      <c r="M48" s="59"/>
    </row>
    <row r="49" spans="1:15" x14ac:dyDescent="0.3">
      <c r="A49" s="104"/>
      <c r="C49" s="59"/>
      <c r="D49" s="3" t="s">
        <v>36</v>
      </c>
      <c r="E49" s="4">
        <v>678</v>
      </c>
      <c r="F49" s="4">
        <v>668</v>
      </c>
      <c r="G49" s="4">
        <v>445</v>
      </c>
      <c r="H49" s="4">
        <v>640</v>
      </c>
      <c r="I49" s="59"/>
      <c r="J49" s="59"/>
      <c r="K49" s="59"/>
      <c r="L49" s="59"/>
      <c r="M49" s="59"/>
    </row>
    <row r="50" spans="1:15" x14ac:dyDescent="0.3">
      <c r="A50" s="104"/>
      <c r="C50" s="59"/>
      <c r="D50" s="60"/>
      <c r="E50" s="59"/>
      <c r="F50" s="59"/>
      <c r="G50" s="59"/>
      <c r="H50" s="59"/>
      <c r="I50" s="59"/>
      <c r="J50" s="59"/>
      <c r="K50" s="59"/>
      <c r="L50" s="59"/>
      <c r="M50" s="59"/>
    </row>
    <row r="51" spans="1:15" x14ac:dyDescent="0.3">
      <c r="A51" s="104"/>
      <c r="C51" s="59"/>
      <c r="D51" s="59"/>
      <c r="E51" s="2" t="s">
        <v>55</v>
      </c>
      <c r="F51" s="2" t="s">
        <v>56</v>
      </c>
      <c r="G51" s="2" t="s">
        <v>57</v>
      </c>
      <c r="H51" s="2" t="s">
        <v>58</v>
      </c>
      <c r="I51" s="59"/>
      <c r="J51" s="59"/>
      <c r="K51" s="59"/>
      <c r="L51" s="59"/>
      <c r="M51" s="59"/>
    </row>
    <row r="52" spans="1:15" x14ac:dyDescent="0.3">
      <c r="A52" s="104"/>
      <c r="C52" s="107" t="s">
        <v>39</v>
      </c>
      <c r="D52" s="17" t="s">
        <v>23</v>
      </c>
      <c r="E52" s="33">
        <v>4.8717000000000006</v>
      </c>
      <c r="F52" s="33">
        <v>21.221900000000002</v>
      </c>
      <c r="G52" s="33">
        <v>4.6096000000000013</v>
      </c>
      <c r="H52" s="33">
        <v>18.064</v>
      </c>
      <c r="I52" s="59"/>
      <c r="J52" s="59"/>
      <c r="K52" s="59"/>
      <c r="L52" s="59"/>
      <c r="M52" s="59"/>
    </row>
    <row r="53" spans="1:15" x14ac:dyDescent="0.3">
      <c r="A53" s="104"/>
      <c r="C53" s="107"/>
      <c r="D53" s="16" t="s">
        <v>24</v>
      </c>
      <c r="E53" s="34">
        <v>3.2287499999999998</v>
      </c>
      <c r="F53" s="34">
        <v>17.212</v>
      </c>
      <c r="G53" s="34">
        <v>3.2489999999999997</v>
      </c>
      <c r="H53" s="34">
        <v>14.364000000000001</v>
      </c>
      <c r="I53" s="59"/>
      <c r="J53" s="59"/>
      <c r="K53" s="59"/>
      <c r="L53" s="59"/>
      <c r="M53" s="59"/>
    </row>
    <row r="54" spans="1:15" s="25" customFormat="1" ht="18" customHeight="1" x14ac:dyDescent="0.3">
      <c r="A54" s="104"/>
      <c r="C54" s="107"/>
      <c r="D54" s="35" t="s">
        <v>26</v>
      </c>
      <c r="E54" s="36">
        <v>2.0750000000000002</v>
      </c>
      <c r="F54" s="36">
        <v>13.2685</v>
      </c>
      <c r="G54" s="36">
        <v>2.3330000000000002</v>
      </c>
      <c r="H54" s="36">
        <v>12.004999999999999</v>
      </c>
      <c r="I54" s="64"/>
      <c r="J54" s="59"/>
      <c r="K54" s="59"/>
      <c r="L54" s="59"/>
      <c r="M54" s="59"/>
      <c r="N54"/>
      <c r="O54"/>
    </row>
    <row r="55" spans="1:15" x14ac:dyDescent="0.3">
      <c r="A55" s="104"/>
      <c r="C55" s="107"/>
      <c r="D55" s="16" t="s">
        <v>27</v>
      </c>
      <c r="E55" s="34">
        <v>1.25675</v>
      </c>
      <c r="F55" s="34">
        <v>10.20825</v>
      </c>
      <c r="G55" s="34">
        <v>1.3614999999999999</v>
      </c>
      <c r="H55" s="34">
        <v>9.4574999999999996</v>
      </c>
      <c r="I55" s="59"/>
      <c r="J55" s="59"/>
      <c r="K55" s="59"/>
      <c r="L55" s="59"/>
      <c r="M55" s="59"/>
    </row>
    <row r="56" spans="1:15" x14ac:dyDescent="0.3">
      <c r="A56" s="104"/>
      <c r="C56" s="107"/>
      <c r="D56" s="17" t="s">
        <v>28</v>
      </c>
      <c r="E56" s="33">
        <v>0.70250000000000012</v>
      </c>
      <c r="F56" s="33">
        <v>7.7459000000000007</v>
      </c>
      <c r="G56" s="33">
        <v>0.623</v>
      </c>
      <c r="H56" s="33">
        <v>7.6679000000000004</v>
      </c>
      <c r="I56" s="59"/>
      <c r="J56" s="59"/>
      <c r="K56" s="59"/>
      <c r="L56" s="59"/>
      <c r="M56" s="59"/>
    </row>
    <row r="57" spans="1:15" x14ac:dyDescent="0.3">
      <c r="A57" s="104"/>
      <c r="C57" s="59"/>
      <c r="D57" s="60"/>
      <c r="E57" s="59"/>
      <c r="F57" s="59"/>
      <c r="G57" s="59"/>
      <c r="H57" s="59"/>
      <c r="I57" s="59"/>
      <c r="J57" s="59"/>
      <c r="K57" s="59"/>
      <c r="L57" s="59"/>
      <c r="M57" s="59"/>
    </row>
    <row r="58" spans="1:15" ht="16.8" x14ac:dyDescent="0.4">
      <c r="A58" s="104"/>
      <c r="C58" s="59"/>
      <c r="D58" s="59"/>
      <c r="E58" s="2" t="s">
        <v>55</v>
      </c>
      <c r="F58" s="2" t="s">
        <v>56</v>
      </c>
      <c r="G58" s="2" t="s">
        <v>57</v>
      </c>
      <c r="H58" s="2" t="s">
        <v>58</v>
      </c>
      <c r="I58" s="59"/>
      <c r="J58" s="74"/>
      <c r="K58" s="74"/>
      <c r="L58" s="74"/>
      <c r="M58" s="74"/>
    </row>
    <row r="59" spans="1:15" ht="16.8" x14ac:dyDescent="0.4">
      <c r="A59" s="104"/>
      <c r="C59" s="108" t="s">
        <v>40</v>
      </c>
      <c r="D59" s="7" t="s">
        <v>23</v>
      </c>
      <c r="E59" s="8">
        <v>92.332600000000014</v>
      </c>
      <c r="F59" s="8">
        <v>360.68510000000009</v>
      </c>
      <c r="G59" s="8">
        <v>75.545400000000015</v>
      </c>
      <c r="H59" s="8">
        <v>293.91399999999999</v>
      </c>
      <c r="I59" s="59"/>
      <c r="J59" s="74"/>
      <c r="K59" s="74"/>
      <c r="L59" s="74"/>
      <c r="M59" s="74"/>
    </row>
    <row r="60" spans="1:15" ht="16.8" x14ac:dyDescent="0.4">
      <c r="A60" s="104"/>
      <c r="C60" s="108"/>
      <c r="D60" s="5" t="s">
        <v>24</v>
      </c>
      <c r="E60" s="9">
        <v>63.596249999999998</v>
      </c>
      <c r="F60" s="9">
        <v>297.16750000000002</v>
      </c>
      <c r="G60" s="9">
        <v>58.149000000000001</v>
      </c>
      <c r="H60" s="9">
        <v>248.8</v>
      </c>
      <c r="I60" s="59"/>
      <c r="J60" s="74"/>
      <c r="K60" s="74"/>
      <c r="L60" s="74"/>
      <c r="M60" s="74"/>
    </row>
    <row r="61" spans="1:15" ht="16.8" x14ac:dyDescent="0.4">
      <c r="A61" s="104"/>
      <c r="C61" s="108"/>
      <c r="D61" s="7" t="s">
        <v>26</v>
      </c>
      <c r="E61" s="10">
        <v>38.308999999999997</v>
      </c>
      <c r="F61" s="10">
        <v>242.79649999999998</v>
      </c>
      <c r="G61" s="10">
        <v>40.173999999999999</v>
      </c>
      <c r="H61" s="10">
        <v>220.72450000000001</v>
      </c>
      <c r="I61" s="59"/>
      <c r="J61" s="74"/>
      <c r="K61" s="74"/>
      <c r="L61" s="74"/>
      <c r="M61" s="74"/>
    </row>
    <row r="62" spans="1:15" ht="16.8" x14ac:dyDescent="0.4">
      <c r="A62" s="104"/>
      <c r="C62" s="108"/>
      <c r="D62" s="5" t="s">
        <v>27</v>
      </c>
      <c r="E62" s="9">
        <v>23.946249999999999</v>
      </c>
      <c r="F62" s="9">
        <v>195.96</v>
      </c>
      <c r="G62" s="9">
        <v>27.151499999999999</v>
      </c>
      <c r="H62" s="9">
        <v>192.33375000000001</v>
      </c>
      <c r="I62" s="59"/>
      <c r="J62" s="74"/>
      <c r="K62" s="74"/>
      <c r="L62" s="74"/>
      <c r="M62" s="74"/>
    </row>
    <row r="63" spans="1:15" ht="16.8" x14ac:dyDescent="0.4">
      <c r="A63" s="104"/>
      <c r="C63" s="108"/>
      <c r="D63" s="7" t="s">
        <v>28</v>
      </c>
      <c r="E63" s="8">
        <v>12.0383</v>
      </c>
      <c r="F63" s="8">
        <v>159.62440000000001</v>
      </c>
      <c r="G63" s="8">
        <v>12.8896</v>
      </c>
      <c r="H63" s="8">
        <v>164.29390000000001</v>
      </c>
      <c r="I63" s="59"/>
      <c r="J63" s="74"/>
      <c r="K63" s="74"/>
      <c r="L63" s="74"/>
      <c r="M63" s="74"/>
    </row>
    <row r="64" spans="1:15" x14ac:dyDescent="0.3">
      <c r="A64" s="104"/>
      <c r="C64" s="59"/>
      <c r="D64" s="60"/>
      <c r="E64" s="59"/>
      <c r="F64" s="59"/>
      <c r="G64" s="59"/>
      <c r="H64" s="59"/>
      <c r="I64" s="59"/>
      <c r="J64" s="59"/>
      <c r="K64" s="59"/>
      <c r="L64" s="59"/>
      <c r="M64" s="59"/>
    </row>
    <row r="65" spans="1:13" x14ac:dyDescent="0.3">
      <c r="A65" s="104"/>
      <c r="C65" s="59"/>
      <c r="D65" s="60"/>
      <c r="E65" s="59"/>
      <c r="F65" s="59"/>
      <c r="G65" s="59"/>
      <c r="H65" s="59"/>
      <c r="I65" s="59"/>
      <c r="J65" s="59"/>
      <c r="K65" s="59"/>
      <c r="L65" s="59"/>
      <c r="M65" s="59"/>
    </row>
    <row r="66" spans="1:13" ht="18" x14ac:dyDescent="0.35">
      <c r="A66" s="104"/>
      <c r="C66" s="81" t="str">
        <f>D7</f>
        <v>Papiers et emballages hors verre - Produits par nature</v>
      </c>
      <c r="D66" s="81"/>
      <c r="E66" s="81"/>
      <c r="F66" s="81"/>
      <c r="G66" s="81"/>
      <c r="H66" s="81"/>
      <c r="I66" s="81"/>
      <c r="J66" s="81"/>
      <c r="K66" s="81"/>
      <c r="L66" s="81"/>
      <c r="M66" s="81"/>
    </row>
    <row r="67" spans="1:13" x14ac:dyDescent="0.3">
      <c r="A67" s="104"/>
      <c r="C67" s="106" t="s">
        <v>35</v>
      </c>
      <c r="D67" s="106"/>
      <c r="E67" s="59"/>
      <c r="F67" s="59"/>
      <c r="G67" s="59"/>
      <c r="H67" s="59"/>
      <c r="I67" s="59"/>
      <c r="J67" s="59"/>
      <c r="K67" s="59"/>
      <c r="L67" s="59"/>
      <c r="M67" s="59"/>
    </row>
    <row r="68" spans="1:13" ht="27.6" x14ac:dyDescent="0.3">
      <c r="A68" s="104"/>
      <c r="C68" s="59"/>
      <c r="D68" s="59"/>
      <c r="E68" s="18" t="s">
        <v>59</v>
      </c>
      <c r="F68" s="18" t="s">
        <v>60</v>
      </c>
      <c r="G68" s="18" t="s">
        <v>61</v>
      </c>
      <c r="H68" s="59"/>
      <c r="I68" s="59"/>
      <c r="J68" s="59"/>
      <c r="K68" s="59"/>
      <c r="L68" s="59"/>
      <c r="M68" s="59"/>
    </row>
    <row r="69" spans="1:13" x14ac:dyDescent="0.3">
      <c r="A69" s="104"/>
      <c r="D69" s="3" t="s">
        <v>36</v>
      </c>
      <c r="E69" s="4">
        <v>659</v>
      </c>
      <c r="F69" s="4">
        <v>666</v>
      </c>
      <c r="G69" s="4">
        <v>674</v>
      </c>
      <c r="H69" s="59"/>
      <c r="I69" s="59"/>
      <c r="J69" s="59"/>
      <c r="K69" s="59"/>
      <c r="L69" s="59"/>
      <c r="M69" s="59"/>
    </row>
    <row r="70" spans="1:13" x14ac:dyDescent="0.3">
      <c r="A70" s="104"/>
      <c r="C70" s="59"/>
      <c r="D70" s="60"/>
      <c r="E70" s="59"/>
      <c r="F70" s="59"/>
      <c r="G70" s="59"/>
      <c r="H70" s="59"/>
      <c r="I70" s="59"/>
      <c r="J70" s="59"/>
      <c r="K70" s="59"/>
      <c r="L70" s="59"/>
      <c r="M70" s="59"/>
    </row>
    <row r="71" spans="1:13" ht="27.6" x14ac:dyDescent="0.3">
      <c r="A71" s="104"/>
      <c r="C71" s="59"/>
      <c r="D71"/>
      <c r="E71" s="18" t="s">
        <v>59</v>
      </c>
      <c r="F71" s="18" t="s">
        <v>60</v>
      </c>
      <c r="G71" s="18" t="s">
        <v>61</v>
      </c>
      <c r="H71" s="59"/>
      <c r="I71" s="59"/>
      <c r="J71" s="59"/>
      <c r="K71" s="59"/>
      <c r="L71" s="59"/>
      <c r="M71" s="59"/>
    </row>
    <row r="72" spans="1:13" x14ac:dyDescent="0.3">
      <c r="A72" s="104"/>
      <c r="C72" s="115" t="s">
        <v>39</v>
      </c>
      <c r="D72" s="16" t="s">
        <v>23</v>
      </c>
      <c r="E72" s="29">
        <v>5.75</v>
      </c>
      <c r="F72" s="29">
        <v>19.653200000000002</v>
      </c>
      <c r="G72" s="29">
        <v>0.621</v>
      </c>
      <c r="H72" s="59"/>
      <c r="I72" s="59"/>
      <c r="J72" s="59"/>
      <c r="K72" s="59"/>
      <c r="L72" s="59"/>
      <c r="M72" s="59"/>
    </row>
    <row r="73" spans="1:13" x14ac:dyDescent="0.3">
      <c r="A73" s="104"/>
      <c r="C73" s="115"/>
      <c r="D73" s="17" t="s">
        <v>24</v>
      </c>
      <c r="E73" s="30">
        <v>4.5309999999999997</v>
      </c>
      <c r="F73" s="30">
        <v>16.924750000000003</v>
      </c>
      <c r="G73" s="30">
        <v>0.24725</v>
      </c>
      <c r="H73" s="59"/>
      <c r="I73" s="59"/>
      <c r="J73" s="59"/>
      <c r="K73" s="59"/>
      <c r="L73" s="59"/>
      <c r="M73" s="59"/>
    </row>
    <row r="74" spans="1:13" s="25" customFormat="1" ht="18" customHeight="1" x14ac:dyDescent="0.3">
      <c r="A74" s="104"/>
      <c r="C74" s="115"/>
      <c r="D74" s="31" t="s">
        <v>26</v>
      </c>
      <c r="E74" s="32">
        <v>3.452</v>
      </c>
      <c r="F74" s="32">
        <v>13.255500000000001</v>
      </c>
      <c r="G74" s="32">
        <v>3.6499999999999998E-2</v>
      </c>
      <c r="H74" s="64"/>
      <c r="I74" s="59"/>
      <c r="J74" s="59"/>
      <c r="K74" s="59"/>
      <c r="L74" s="59"/>
      <c r="M74" s="64"/>
    </row>
    <row r="75" spans="1:13" x14ac:dyDescent="0.3">
      <c r="A75" s="104"/>
      <c r="C75" s="115"/>
      <c r="D75" s="17" t="s">
        <v>27</v>
      </c>
      <c r="E75" s="37">
        <v>2.67</v>
      </c>
      <c r="F75" s="37">
        <v>9.9617500000000003</v>
      </c>
      <c r="G75" s="37">
        <v>0</v>
      </c>
      <c r="H75" s="59"/>
      <c r="I75" s="59"/>
      <c r="J75" s="59"/>
      <c r="K75" s="59"/>
      <c r="L75" s="59"/>
      <c r="M75" s="59"/>
    </row>
    <row r="76" spans="1:13" x14ac:dyDescent="0.3">
      <c r="A76" s="104"/>
      <c r="C76" s="115"/>
      <c r="D76" s="16" t="s">
        <v>28</v>
      </c>
      <c r="E76" s="32">
        <v>1.7729999999999999</v>
      </c>
      <c r="F76" s="32">
        <v>7.5946000000000007</v>
      </c>
      <c r="G76" s="32">
        <v>0</v>
      </c>
      <c r="H76" s="59"/>
      <c r="I76" s="59"/>
      <c r="J76" s="59"/>
      <c r="K76" s="59"/>
      <c r="L76" s="59"/>
      <c r="M76" s="59"/>
    </row>
    <row r="77" spans="1:13" x14ac:dyDescent="0.3">
      <c r="A77" s="104"/>
      <c r="C77" s="59"/>
      <c r="D77" s="60"/>
      <c r="E77" s="59"/>
      <c r="F77" s="59"/>
      <c r="G77" s="59"/>
      <c r="H77" s="59"/>
      <c r="I77" s="59"/>
      <c r="J77" s="59"/>
      <c r="K77" s="59"/>
      <c r="L77" s="59"/>
      <c r="M77" s="59"/>
    </row>
    <row r="78" spans="1:13" ht="27.6" x14ac:dyDescent="0.3">
      <c r="A78" s="104"/>
      <c r="C78" s="59"/>
      <c r="D78" s="59"/>
      <c r="E78" s="18" t="s">
        <v>59</v>
      </c>
      <c r="F78" s="18" t="s">
        <v>60</v>
      </c>
      <c r="G78" s="18" t="s">
        <v>61</v>
      </c>
      <c r="H78" s="59"/>
      <c r="I78" s="59"/>
      <c r="J78" s="59"/>
      <c r="K78" s="59"/>
      <c r="L78" s="59"/>
      <c r="M78" s="59"/>
    </row>
    <row r="79" spans="1:13" x14ac:dyDescent="0.3">
      <c r="A79" s="104"/>
      <c r="C79" s="108" t="s">
        <v>40</v>
      </c>
      <c r="D79" s="5" t="s">
        <v>23</v>
      </c>
      <c r="E79" s="6">
        <v>97.289000000000001</v>
      </c>
      <c r="F79" s="6">
        <v>327.44680000000022</v>
      </c>
      <c r="G79" s="6">
        <v>13.260999999999999</v>
      </c>
      <c r="H79" s="59"/>
      <c r="I79" s="59"/>
      <c r="J79" s="59"/>
      <c r="K79" s="59"/>
      <c r="L79" s="59"/>
      <c r="M79" s="59"/>
    </row>
    <row r="80" spans="1:13" x14ac:dyDescent="0.3">
      <c r="A80" s="104"/>
      <c r="C80" s="108"/>
      <c r="D80" s="7" t="s">
        <v>24</v>
      </c>
      <c r="E80" s="8">
        <v>78.302000000000007</v>
      </c>
      <c r="F80" s="8">
        <v>286.25725</v>
      </c>
      <c r="G80" s="8">
        <v>4.4225000000000003</v>
      </c>
      <c r="H80" s="59"/>
      <c r="I80" s="59"/>
      <c r="J80" s="59"/>
      <c r="K80" s="59"/>
      <c r="L80" s="59"/>
      <c r="M80" s="59"/>
    </row>
    <row r="81" spans="1:23" x14ac:dyDescent="0.3">
      <c r="A81" s="104"/>
      <c r="C81" s="108"/>
      <c r="D81" s="5" t="s">
        <v>26</v>
      </c>
      <c r="E81" s="9">
        <v>63.095999999999997</v>
      </c>
      <c r="F81" s="9">
        <v>245.80099999999999</v>
      </c>
      <c r="G81" s="9">
        <v>0.67</v>
      </c>
      <c r="H81" s="59"/>
      <c r="I81" s="59"/>
      <c r="J81" s="59"/>
      <c r="K81" s="59"/>
      <c r="L81" s="59"/>
      <c r="M81" s="59"/>
    </row>
    <row r="82" spans="1:23" x14ac:dyDescent="0.3">
      <c r="A82" s="104"/>
      <c r="C82" s="108"/>
      <c r="D82" s="7" t="s">
        <v>27</v>
      </c>
      <c r="E82" s="10">
        <v>49.914000000000001</v>
      </c>
      <c r="F82" s="10">
        <v>197.47424999999998</v>
      </c>
      <c r="G82" s="10">
        <v>0</v>
      </c>
      <c r="H82" s="59"/>
      <c r="I82" s="59"/>
      <c r="J82" s="59"/>
      <c r="K82" s="59"/>
      <c r="L82" s="59"/>
      <c r="M82" s="59"/>
    </row>
    <row r="83" spans="1:23" x14ac:dyDescent="0.3">
      <c r="A83" s="104"/>
      <c r="C83" s="108"/>
      <c r="D83" s="5" t="s">
        <v>28</v>
      </c>
      <c r="E83" s="9">
        <v>40.139000000000003</v>
      </c>
      <c r="F83" s="9">
        <v>161.2312</v>
      </c>
      <c r="G83" s="9">
        <v>0</v>
      </c>
      <c r="H83" s="59"/>
      <c r="I83" s="59"/>
      <c r="J83" s="59"/>
      <c r="K83" s="59"/>
      <c r="L83" s="59"/>
      <c r="M83" s="59"/>
    </row>
    <row r="84" spans="1:23" x14ac:dyDescent="0.3">
      <c r="A84" s="104"/>
      <c r="C84" s="59"/>
      <c r="D84" s="60"/>
      <c r="E84" s="59"/>
      <c r="F84" s="59"/>
      <c r="G84" s="59"/>
      <c r="H84" s="59"/>
      <c r="I84" s="59"/>
      <c r="J84" s="59"/>
      <c r="K84" s="59"/>
      <c r="L84" s="59"/>
      <c r="M84" s="59"/>
    </row>
    <row r="85" spans="1:23" x14ac:dyDescent="0.3">
      <c r="A85" s="104"/>
      <c r="C85" s="59"/>
      <c r="D85" s="60"/>
      <c r="E85" s="59"/>
      <c r="F85" s="59"/>
      <c r="G85" s="59"/>
      <c r="H85" s="59"/>
      <c r="I85" s="59"/>
      <c r="J85" s="59"/>
      <c r="K85" s="59"/>
      <c r="L85" s="59"/>
      <c r="M85" s="59"/>
    </row>
    <row r="86" spans="1:23" ht="18" x14ac:dyDescent="0.35">
      <c r="A86" s="104"/>
      <c r="C86" s="81" t="str">
        <f>D8</f>
        <v>Papiers et emballages hors verre - Évolution du coût aidé HT</v>
      </c>
      <c r="D86" s="81"/>
      <c r="E86" s="81"/>
      <c r="F86" s="81"/>
      <c r="G86" s="81"/>
      <c r="H86" s="81"/>
      <c r="I86" s="81"/>
      <c r="J86" s="81"/>
      <c r="K86" s="81"/>
      <c r="L86" s="81"/>
      <c r="M86" s="81"/>
    </row>
    <row r="87" spans="1:23" x14ac:dyDescent="0.3">
      <c r="A87" s="104"/>
      <c r="C87" s="106" t="s">
        <v>35</v>
      </c>
      <c r="D87" s="106"/>
      <c r="E87" s="59"/>
      <c r="F87" s="59"/>
      <c r="G87" s="59"/>
      <c r="H87" s="59"/>
      <c r="I87" s="59"/>
      <c r="J87" s="59"/>
      <c r="K87" s="59"/>
      <c r="L87" s="59"/>
      <c r="M87" s="59"/>
    </row>
    <row r="88" spans="1:23" x14ac:dyDescent="0.3">
      <c r="A88" s="104"/>
      <c r="C88" s="59"/>
      <c r="D88" s="59"/>
      <c r="E88" s="2">
        <v>2010</v>
      </c>
      <c r="F88" s="2">
        <v>2012</v>
      </c>
      <c r="G88" s="2">
        <v>2014</v>
      </c>
      <c r="H88" s="2">
        <v>2016</v>
      </c>
      <c r="I88" s="2">
        <v>2018</v>
      </c>
      <c r="J88" s="2">
        <v>2019</v>
      </c>
      <c r="K88" s="2">
        <v>2020</v>
      </c>
      <c r="L88" s="2">
        <v>2022</v>
      </c>
      <c r="M88" s="2">
        <v>2023</v>
      </c>
    </row>
    <row r="89" spans="1:23" x14ac:dyDescent="0.3">
      <c r="A89" s="104"/>
      <c r="C89" s="59"/>
      <c r="D89" s="3" t="s">
        <v>36</v>
      </c>
      <c r="E89" s="13">
        <v>177</v>
      </c>
      <c r="F89" s="13">
        <v>358</v>
      </c>
      <c r="G89" s="13">
        <v>382</v>
      </c>
      <c r="H89" s="12">
        <v>351</v>
      </c>
      <c r="I89" s="12">
        <v>422</v>
      </c>
      <c r="J89" s="12">
        <v>597</v>
      </c>
      <c r="K89" s="12">
        <v>463</v>
      </c>
      <c r="L89" s="12">
        <v>648</v>
      </c>
      <c r="M89" s="12">
        <v>597</v>
      </c>
    </row>
    <row r="90" spans="1:23" x14ac:dyDescent="0.3">
      <c r="A90" s="104"/>
      <c r="C90" s="59"/>
      <c r="D90" s="60"/>
      <c r="E90" s="59"/>
      <c r="F90" s="59"/>
      <c r="G90" s="59"/>
      <c r="H90" s="59"/>
      <c r="I90" s="59"/>
      <c r="J90" s="59"/>
      <c r="K90" s="59"/>
      <c r="L90" s="59"/>
      <c r="M90" s="59"/>
    </row>
    <row r="91" spans="1:23" x14ac:dyDescent="0.3">
      <c r="A91" s="104"/>
      <c r="C91" s="59"/>
      <c r="D91" s="59"/>
      <c r="E91" s="2">
        <v>2010</v>
      </c>
      <c r="F91" s="2">
        <v>2012</v>
      </c>
      <c r="G91" s="2">
        <v>2014</v>
      </c>
      <c r="H91" s="2">
        <v>2016</v>
      </c>
      <c r="I91" s="2">
        <v>2018</v>
      </c>
      <c r="J91" s="2">
        <v>2019</v>
      </c>
      <c r="K91" s="2">
        <v>2020</v>
      </c>
      <c r="L91" s="2">
        <v>2022</v>
      </c>
      <c r="M91" s="2">
        <v>2023</v>
      </c>
    </row>
    <row r="92" spans="1:23" ht="15" customHeight="1" x14ac:dyDescent="0.3">
      <c r="A92" s="104"/>
      <c r="C92" s="107" t="s">
        <v>39</v>
      </c>
      <c r="D92" s="16" t="s">
        <v>23</v>
      </c>
      <c r="E92" s="28">
        <v>14.672639999999999</v>
      </c>
      <c r="F92" s="28">
        <v>13.176820000000001</v>
      </c>
      <c r="G92" s="28">
        <v>13.6546</v>
      </c>
      <c r="H92" s="28">
        <v>17.899999999999999</v>
      </c>
      <c r="I92" s="28">
        <v>18.880179999999989</v>
      </c>
      <c r="J92" s="28">
        <v>21.503499999999999</v>
      </c>
      <c r="K92" s="28">
        <v>22.788460000000001</v>
      </c>
      <c r="L92" s="28">
        <v>23.258600000000005</v>
      </c>
      <c r="M92" s="28">
        <v>28.038400000000003</v>
      </c>
    </row>
    <row r="93" spans="1:23" x14ac:dyDescent="0.3">
      <c r="A93" s="104"/>
      <c r="C93" s="107"/>
      <c r="D93" s="17" t="s">
        <v>24</v>
      </c>
      <c r="E93" s="33">
        <v>12.039400000000001</v>
      </c>
      <c r="F93" s="33">
        <v>8.770975</v>
      </c>
      <c r="G93" s="33">
        <v>10.19755</v>
      </c>
      <c r="H93" s="33">
        <v>12.4</v>
      </c>
      <c r="I93" s="33">
        <v>12.97775</v>
      </c>
      <c r="J93" s="33">
        <v>16.158799999999999</v>
      </c>
      <c r="K93" s="33">
        <v>17.7255</v>
      </c>
      <c r="L93" s="33">
        <v>16.298249999999999</v>
      </c>
      <c r="M93" s="33">
        <v>20.821999999999999</v>
      </c>
    </row>
    <row r="94" spans="1:23" s="25" customFormat="1" ht="17.399999999999999" customHeight="1" x14ac:dyDescent="0.3">
      <c r="A94" s="104"/>
      <c r="C94" s="107"/>
      <c r="D94" s="31" t="s">
        <v>25</v>
      </c>
      <c r="E94" s="28">
        <v>9.8332856059832956</v>
      </c>
      <c r="F94" s="28">
        <v>8.4373667555107517</v>
      </c>
      <c r="G94" s="28">
        <v>8.8696326113734578</v>
      </c>
      <c r="H94" s="28">
        <v>9.8000000000000007</v>
      </c>
      <c r="I94" s="28">
        <v>11.128470838435209</v>
      </c>
      <c r="J94" s="28">
        <v>12.66885114606373</v>
      </c>
      <c r="K94" s="28">
        <v>13.885707731169019</v>
      </c>
      <c r="L94" s="28">
        <v>11.944130360709233</v>
      </c>
      <c r="M94" s="28">
        <v>16.47560088067041</v>
      </c>
      <c r="N94"/>
      <c r="O94"/>
      <c r="P94"/>
      <c r="Q94"/>
      <c r="R94"/>
      <c r="S94"/>
      <c r="T94"/>
      <c r="U94"/>
      <c r="V94"/>
      <c r="W94"/>
    </row>
    <row r="95" spans="1:23" x14ac:dyDescent="0.3">
      <c r="A95" s="104"/>
      <c r="C95" s="107"/>
      <c r="D95" s="17" t="s">
        <v>27</v>
      </c>
      <c r="E95" s="33">
        <v>3.4855999999999998</v>
      </c>
      <c r="F95" s="33">
        <v>0.55362500000000003</v>
      </c>
      <c r="G95" s="33">
        <v>1.5836250000000001</v>
      </c>
      <c r="H95" s="33">
        <v>2.9</v>
      </c>
      <c r="I95" s="33">
        <v>4.4562249999999999</v>
      </c>
      <c r="J95" s="33">
        <v>5.3624999999999998</v>
      </c>
      <c r="K95" s="33">
        <v>7.5172999999999996</v>
      </c>
      <c r="L95" s="33">
        <v>5.46075</v>
      </c>
      <c r="M95" s="33">
        <v>10.102</v>
      </c>
    </row>
    <row r="96" spans="1:23" x14ac:dyDescent="0.3">
      <c r="A96" s="104"/>
      <c r="C96" s="107"/>
      <c r="D96" s="16" t="s">
        <v>28</v>
      </c>
      <c r="E96" s="34">
        <v>1.4053</v>
      </c>
      <c r="F96" s="34">
        <v>-2.2221999999999995</v>
      </c>
      <c r="G96" s="34">
        <v>-0.57835999999999976</v>
      </c>
      <c r="H96" s="34">
        <v>0.1</v>
      </c>
      <c r="I96" s="34">
        <v>0.86786000000000063</v>
      </c>
      <c r="J96" s="34">
        <v>1.9338</v>
      </c>
      <c r="K96" s="34">
        <v>4.2631200000000007</v>
      </c>
      <c r="L96" s="34">
        <v>1.8243</v>
      </c>
      <c r="M96" s="34">
        <v>6.6434000000000006</v>
      </c>
    </row>
    <row r="97" spans="1:13" x14ac:dyDescent="0.3">
      <c r="A97" s="104"/>
      <c r="C97" s="59"/>
      <c r="D97" s="60"/>
      <c r="E97" s="59"/>
      <c r="F97" s="59"/>
      <c r="G97" s="59"/>
      <c r="H97" s="59"/>
      <c r="I97" s="59"/>
      <c r="J97" s="59"/>
      <c r="K97" s="59"/>
      <c r="L97" s="59"/>
      <c r="M97" s="59"/>
    </row>
    <row r="98" spans="1:13" x14ac:dyDescent="0.3">
      <c r="A98" s="104"/>
      <c r="C98" s="59"/>
      <c r="D98" s="59"/>
      <c r="E98" s="2">
        <v>2010</v>
      </c>
      <c r="F98" s="2">
        <v>2012</v>
      </c>
      <c r="G98" s="2">
        <v>2014</v>
      </c>
      <c r="H98" s="2">
        <v>2016</v>
      </c>
      <c r="I98" s="2">
        <v>2018</v>
      </c>
      <c r="J98" s="2">
        <v>2019</v>
      </c>
      <c r="K98" s="2">
        <v>2020</v>
      </c>
      <c r="L98" s="2">
        <v>2022</v>
      </c>
      <c r="M98" s="2">
        <v>2023</v>
      </c>
    </row>
    <row r="99" spans="1:13" ht="15" customHeight="1" x14ac:dyDescent="0.3">
      <c r="A99" s="104"/>
      <c r="C99" s="108" t="s">
        <v>40</v>
      </c>
      <c r="D99" s="5" t="s">
        <v>23</v>
      </c>
      <c r="E99" s="6">
        <v>310.10983999999996</v>
      </c>
      <c r="F99" s="6">
        <v>283.44218000000001</v>
      </c>
      <c r="G99" s="6">
        <v>286.34502000000003</v>
      </c>
      <c r="H99" s="6">
        <v>355.9</v>
      </c>
      <c r="I99" s="6">
        <v>353.95967999999993</v>
      </c>
      <c r="J99" s="6">
        <v>410.2987</v>
      </c>
      <c r="K99" s="6">
        <v>439.46604000000002</v>
      </c>
      <c r="L99" s="6">
        <v>416.89940000000001</v>
      </c>
      <c r="M99" s="6">
        <v>481.78660000000031</v>
      </c>
    </row>
    <row r="100" spans="1:13" x14ac:dyDescent="0.3">
      <c r="A100" s="104"/>
      <c r="C100" s="108"/>
      <c r="D100" s="7" t="s">
        <v>24</v>
      </c>
      <c r="E100" s="8">
        <v>244.48830000000001</v>
      </c>
      <c r="F100" s="8">
        <v>166.55629999999999</v>
      </c>
      <c r="G100" s="8">
        <v>201.52780000000001</v>
      </c>
      <c r="H100" s="8">
        <v>248.1</v>
      </c>
      <c r="I100" s="8">
        <v>265.48282499999999</v>
      </c>
      <c r="J100" s="8">
        <v>311.71269999999998</v>
      </c>
      <c r="K100" s="8">
        <v>333.2552</v>
      </c>
      <c r="L100" s="8">
        <v>305.39300000000003</v>
      </c>
      <c r="M100" s="8">
        <v>383.72749999999996</v>
      </c>
    </row>
    <row r="101" spans="1:13" x14ac:dyDescent="0.3">
      <c r="A101" s="104"/>
      <c r="C101" s="108"/>
      <c r="D101" s="5" t="s">
        <v>25</v>
      </c>
      <c r="E101" s="6">
        <v>197.79345119762345</v>
      </c>
      <c r="F101" s="6">
        <v>172.35065811332433</v>
      </c>
      <c r="G101" s="6">
        <v>184.87339621474888</v>
      </c>
      <c r="H101" s="6">
        <v>202.2</v>
      </c>
      <c r="I101" s="6">
        <v>217.53734314445364</v>
      </c>
      <c r="J101" s="6">
        <v>243.30653699144847</v>
      </c>
      <c r="K101" s="6">
        <v>282.19359173984486</v>
      </c>
      <c r="L101" s="6">
        <v>235.7954883706943</v>
      </c>
      <c r="M101" s="6">
        <v>321.26626851316342</v>
      </c>
    </row>
    <row r="102" spans="1:13" x14ac:dyDescent="0.3">
      <c r="A102" s="104"/>
      <c r="C102" s="108"/>
      <c r="D102" s="7" t="s">
        <v>27</v>
      </c>
      <c r="E102" s="8">
        <v>87.466700000000003</v>
      </c>
      <c r="F102" s="8">
        <v>14.8393</v>
      </c>
      <c r="G102" s="8">
        <v>36.133575</v>
      </c>
      <c r="H102" s="8">
        <v>65.3</v>
      </c>
      <c r="I102" s="8">
        <v>91.240774999999999</v>
      </c>
      <c r="J102" s="8">
        <v>109.3844</v>
      </c>
      <c r="K102" s="8">
        <v>151.0839</v>
      </c>
      <c r="L102" s="8">
        <v>108.047</v>
      </c>
      <c r="M102" s="8">
        <v>193.126</v>
      </c>
    </row>
    <row r="103" spans="1:13" x14ac:dyDescent="0.3">
      <c r="A103" s="104"/>
      <c r="C103" s="108"/>
      <c r="D103" s="5" t="s">
        <v>28</v>
      </c>
      <c r="E103" s="9">
        <v>30.589700000000001</v>
      </c>
      <c r="F103" s="9">
        <v>-48.527429999999988</v>
      </c>
      <c r="G103" s="9">
        <v>-13.788079999999995</v>
      </c>
      <c r="H103" s="9">
        <v>2.6</v>
      </c>
      <c r="I103" s="9">
        <v>18.323840000000008</v>
      </c>
      <c r="J103" s="9">
        <v>43.7911</v>
      </c>
      <c r="K103" s="9">
        <v>85.714560000000006</v>
      </c>
      <c r="L103" s="9">
        <v>38.949600000000004</v>
      </c>
      <c r="M103" s="9">
        <v>127.72460000000001</v>
      </c>
    </row>
    <row r="104" spans="1:13" x14ac:dyDescent="0.3">
      <c r="A104" s="104"/>
      <c r="C104" s="59"/>
      <c r="D104" s="60"/>
      <c r="E104" s="59"/>
      <c r="F104" s="59"/>
      <c r="G104" s="59"/>
      <c r="H104" s="59"/>
      <c r="I104" s="59"/>
      <c r="J104" s="59"/>
      <c r="K104" s="59"/>
      <c r="L104" s="59"/>
      <c r="M104" s="59"/>
    </row>
    <row r="105" spans="1:13" x14ac:dyDescent="0.3">
      <c r="A105" s="104"/>
      <c r="C105" s="59"/>
      <c r="D105" s="60"/>
      <c r="E105" s="59"/>
      <c r="F105" s="59"/>
      <c r="G105" s="59"/>
      <c r="H105" s="59"/>
      <c r="I105" s="59"/>
      <c r="J105" s="59"/>
      <c r="K105" s="59"/>
      <c r="L105" s="59"/>
      <c r="M105" s="59"/>
    </row>
    <row r="106" spans="1:13" ht="18" x14ac:dyDescent="0.35">
      <c r="A106" s="104"/>
      <c r="C106" s="81" t="str">
        <f>D9</f>
        <v>Papiers et emballages hors verre - Coût aidé HT et typologie d'habitat</v>
      </c>
      <c r="D106" s="81"/>
      <c r="E106" s="81"/>
      <c r="F106" s="81"/>
      <c r="G106" s="81"/>
      <c r="H106" s="81"/>
      <c r="I106" s="81"/>
      <c r="J106" s="81"/>
      <c r="K106" s="81"/>
      <c r="L106" s="81"/>
      <c r="M106" s="81"/>
    </row>
    <row r="107" spans="1:13" x14ac:dyDescent="0.3">
      <c r="A107" s="104"/>
      <c r="C107" s="106" t="s">
        <v>35</v>
      </c>
      <c r="D107" s="106"/>
      <c r="E107" s="59"/>
      <c r="F107" s="59"/>
      <c r="G107" s="59"/>
      <c r="H107" s="59"/>
      <c r="I107" s="59"/>
      <c r="J107" s="59"/>
      <c r="K107" s="59"/>
      <c r="L107" s="59"/>
      <c r="M107" s="59"/>
    </row>
    <row r="108" spans="1:13" x14ac:dyDescent="0.3">
      <c r="A108" s="104"/>
      <c r="C108" s="59"/>
      <c r="D108" s="59"/>
      <c r="E108" s="2" t="s">
        <v>14</v>
      </c>
      <c r="F108" s="2" t="s">
        <v>15</v>
      </c>
      <c r="G108" s="2" t="s">
        <v>16</v>
      </c>
      <c r="H108" s="2" t="s">
        <v>17</v>
      </c>
      <c r="I108" s="2" t="s">
        <v>18</v>
      </c>
      <c r="J108" s="59"/>
      <c r="K108" s="59"/>
      <c r="L108" s="59"/>
      <c r="M108" s="59"/>
    </row>
    <row r="109" spans="1:13" x14ac:dyDescent="0.3">
      <c r="A109" s="104"/>
      <c r="C109" s="59"/>
      <c r="D109" s="3" t="s">
        <v>36</v>
      </c>
      <c r="E109" s="4">
        <v>215</v>
      </c>
      <c r="F109" s="4">
        <v>191</v>
      </c>
      <c r="G109" s="4">
        <v>67</v>
      </c>
      <c r="H109" s="4">
        <v>62</v>
      </c>
      <c r="I109" s="4">
        <v>62</v>
      </c>
      <c r="J109" s="59"/>
      <c r="K109" s="59"/>
      <c r="L109" s="59"/>
      <c r="M109" s="59"/>
    </row>
    <row r="110" spans="1:13" x14ac:dyDescent="0.3">
      <c r="A110" s="104"/>
      <c r="C110" s="59"/>
      <c r="D110" s="3" t="s">
        <v>42</v>
      </c>
      <c r="E110" s="71">
        <v>57</v>
      </c>
      <c r="F110" s="71">
        <v>56</v>
      </c>
      <c r="G110" s="71">
        <v>54</v>
      </c>
      <c r="H110" s="71">
        <v>47</v>
      </c>
      <c r="I110" s="71">
        <v>61.5</v>
      </c>
      <c r="J110" s="59"/>
      <c r="K110" s="59"/>
      <c r="L110" s="59"/>
      <c r="M110" s="59"/>
    </row>
    <row r="111" spans="1:13" x14ac:dyDescent="0.3">
      <c r="A111" s="104"/>
      <c r="C111" s="59"/>
      <c r="D111" s="60"/>
      <c r="E111" s="59"/>
      <c r="F111" s="59"/>
      <c r="G111" s="59"/>
      <c r="H111" s="59"/>
      <c r="I111" s="59"/>
      <c r="J111" s="59"/>
      <c r="K111" s="59"/>
      <c r="L111" s="59"/>
      <c r="M111" s="59"/>
    </row>
    <row r="112" spans="1:13" x14ac:dyDescent="0.3">
      <c r="A112" s="104"/>
      <c r="C112" s="59"/>
      <c r="D112" s="59"/>
      <c r="E112" s="2" t="s">
        <v>14</v>
      </c>
      <c r="F112" s="2" t="s">
        <v>15</v>
      </c>
      <c r="G112" s="2" t="s">
        <v>16</v>
      </c>
      <c r="H112" s="2" t="s">
        <v>17</v>
      </c>
      <c r="I112" s="2" t="s">
        <v>18</v>
      </c>
      <c r="J112" s="59"/>
      <c r="K112" s="59"/>
      <c r="L112" s="59"/>
      <c r="M112" s="59"/>
    </row>
    <row r="113" spans="1:15" x14ac:dyDescent="0.3">
      <c r="A113" s="104"/>
      <c r="C113" s="107" t="s">
        <v>39</v>
      </c>
      <c r="D113" s="17" t="s">
        <v>23</v>
      </c>
      <c r="E113" s="33">
        <v>27.377599999999877</v>
      </c>
      <c r="F113" s="33">
        <v>27.193599999999957</v>
      </c>
      <c r="G113" s="33">
        <v>27.893600000000045</v>
      </c>
      <c r="H113" s="33">
        <v>22.856299999999987</v>
      </c>
      <c r="I113" s="33">
        <v>40.347099999999969</v>
      </c>
      <c r="J113" s="59"/>
      <c r="K113" s="59"/>
      <c r="L113" s="59"/>
      <c r="M113" s="59"/>
    </row>
    <row r="114" spans="1:15" x14ac:dyDescent="0.3">
      <c r="A114" s="104"/>
      <c r="C114" s="107"/>
      <c r="D114" s="16" t="s">
        <v>24</v>
      </c>
      <c r="E114" s="34">
        <v>21.974999999999991</v>
      </c>
      <c r="F114" s="34">
        <v>18.699000000000044</v>
      </c>
      <c r="G114" s="34">
        <v>18.881</v>
      </c>
      <c r="H114" s="34">
        <v>18.921500000000005</v>
      </c>
      <c r="I114" s="34">
        <v>28.577999999999978</v>
      </c>
      <c r="J114" s="59"/>
      <c r="K114" s="59"/>
      <c r="L114" s="59"/>
      <c r="M114" s="59"/>
    </row>
    <row r="115" spans="1:15" s="25" customFormat="1" ht="16.95" customHeight="1" x14ac:dyDescent="0.3">
      <c r="A115" s="104"/>
      <c r="C115" s="107"/>
      <c r="D115" s="35" t="s">
        <v>26</v>
      </c>
      <c r="E115" s="36">
        <v>14.543000000000008</v>
      </c>
      <c r="F115" s="36">
        <v>14.135999999999976</v>
      </c>
      <c r="G115" s="36">
        <v>13.984000000000012</v>
      </c>
      <c r="H115" s="36">
        <v>15.722999999999983</v>
      </c>
      <c r="I115" s="36">
        <v>20.705500000000022</v>
      </c>
      <c r="J115" s="64"/>
      <c r="K115" s="59"/>
      <c r="L115" s="59"/>
      <c r="M115" s="59"/>
      <c r="N115"/>
      <c r="O115"/>
    </row>
    <row r="116" spans="1:15" x14ac:dyDescent="0.3">
      <c r="A116" s="104"/>
      <c r="C116" s="107"/>
      <c r="D116" s="16" t="s">
        <v>27</v>
      </c>
      <c r="E116" s="34">
        <v>9.5840000000000174</v>
      </c>
      <c r="F116" s="34">
        <v>9.375</v>
      </c>
      <c r="G116" s="34">
        <v>9.7169999999999934</v>
      </c>
      <c r="H116" s="34">
        <v>12.822000000000001</v>
      </c>
      <c r="I116" s="34">
        <v>12.30175</v>
      </c>
      <c r="J116" s="59"/>
      <c r="K116" s="59"/>
      <c r="L116" s="59"/>
      <c r="M116" s="59"/>
    </row>
    <row r="117" spans="1:15" x14ac:dyDescent="0.3">
      <c r="A117" s="104"/>
      <c r="C117" s="107"/>
      <c r="D117" s="17" t="s">
        <v>28</v>
      </c>
      <c r="E117" s="33">
        <v>6.3373999999999731</v>
      </c>
      <c r="F117" s="33">
        <v>5.57439999999999</v>
      </c>
      <c r="G117" s="33">
        <v>7.6322000000000081</v>
      </c>
      <c r="H117" s="33">
        <v>8.9547000000000008</v>
      </c>
      <c r="I117" s="33">
        <v>6.1786999999999956</v>
      </c>
      <c r="J117" s="59"/>
      <c r="K117" s="59"/>
      <c r="L117" s="59"/>
      <c r="M117" s="59"/>
    </row>
    <row r="118" spans="1:15" x14ac:dyDescent="0.3">
      <c r="A118" s="104"/>
      <c r="C118" s="59"/>
      <c r="D118" s="60"/>
      <c r="E118" s="59"/>
      <c r="F118" s="59"/>
      <c r="G118" s="59"/>
      <c r="H118" s="59"/>
      <c r="I118" s="59"/>
      <c r="J118" s="59"/>
      <c r="K118" s="59"/>
      <c r="L118" s="59"/>
      <c r="M118" s="59"/>
    </row>
    <row r="119" spans="1:15" x14ac:dyDescent="0.3">
      <c r="A119" s="104"/>
      <c r="C119" s="59"/>
      <c r="D119" s="59"/>
      <c r="E119" s="2" t="s">
        <v>14</v>
      </c>
      <c r="F119" s="2" t="s">
        <v>15</v>
      </c>
      <c r="G119" s="2" t="s">
        <v>16</v>
      </c>
      <c r="H119" s="2" t="s">
        <v>17</v>
      </c>
      <c r="I119" s="2" t="s">
        <v>18</v>
      </c>
      <c r="J119" s="59"/>
      <c r="K119" s="59"/>
      <c r="L119" s="59"/>
      <c r="M119" s="59"/>
    </row>
    <row r="120" spans="1:15" x14ac:dyDescent="0.3">
      <c r="A120" s="104"/>
      <c r="C120" s="108" t="s">
        <v>40</v>
      </c>
      <c r="D120" s="7" t="s">
        <v>23</v>
      </c>
      <c r="E120" s="8">
        <v>443.80620000000147</v>
      </c>
      <c r="F120" s="8">
        <v>484.05760000000015</v>
      </c>
      <c r="G120" s="8">
        <v>517.16600000000028</v>
      </c>
      <c r="H120" s="8">
        <v>511.68769999999944</v>
      </c>
      <c r="I120" s="8">
        <v>598.05430000000024</v>
      </c>
      <c r="J120" s="59"/>
      <c r="K120" s="59"/>
      <c r="L120" s="59"/>
      <c r="M120" s="59"/>
    </row>
    <row r="121" spans="1:15" x14ac:dyDescent="0.3">
      <c r="A121" s="104"/>
      <c r="C121" s="108"/>
      <c r="D121" s="5" t="s">
        <v>24</v>
      </c>
      <c r="E121" s="9">
        <v>372.13399999999984</v>
      </c>
      <c r="F121" s="9">
        <v>362.19900000000001</v>
      </c>
      <c r="G121" s="9">
        <v>367.87399999999985</v>
      </c>
      <c r="H121" s="9">
        <v>413.37274999999971</v>
      </c>
      <c r="I121" s="9">
        <v>458.43400000000031</v>
      </c>
      <c r="J121" s="59"/>
      <c r="K121" s="59"/>
      <c r="L121" s="59"/>
      <c r="M121" s="59"/>
    </row>
    <row r="122" spans="1:15" x14ac:dyDescent="0.3">
      <c r="A122" s="104"/>
      <c r="C122" s="108"/>
      <c r="D122" s="7" t="s">
        <v>26</v>
      </c>
      <c r="E122" s="10">
        <v>263.44400000000115</v>
      </c>
      <c r="F122" s="10">
        <v>256.25699999999966</v>
      </c>
      <c r="G122" s="10">
        <v>257.95900000000023</v>
      </c>
      <c r="H122" s="10">
        <v>331.81950000000006</v>
      </c>
      <c r="I122" s="10">
        <v>294.2289999999997</v>
      </c>
      <c r="J122" s="59"/>
      <c r="K122" s="59"/>
      <c r="L122" s="59"/>
      <c r="M122" s="59"/>
    </row>
    <row r="123" spans="1:15" x14ac:dyDescent="0.3">
      <c r="A123" s="104"/>
      <c r="C123" s="108"/>
      <c r="D123" s="5" t="s">
        <v>27</v>
      </c>
      <c r="E123" s="9">
        <v>191.39899999999992</v>
      </c>
      <c r="F123" s="9">
        <v>177.20999999999935</v>
      </c>
      <c r="G123" s="9">
        <v>180.89099999999979</v>
      </c>
      <c r="H123" s="9">
        <v>273.37275000000028</v>
      </c>
      <c r="I123" s="9">
        <v>227.32925000000017</v>
      </c>
      <c r="J123" s="59"/>
      <c r="K123" s="59"/>
      <c r="L123" s="59"/>
      <c r="M123" s="59"/>
    </row>
    <row r="124" spans="1:15" x14ac:dyDescent="0.3">
      <c r="A124" s="104"/>
      <c r="C124" s="108"/>
      <c r="D124" s="7" t="s">
        <v>28</v>
      </c>
      <c r="E124" s="8">
        <v>124.97980000000013</v>
      </c>
      <c r="F124" s="8">
        <v>110.96380000000022</v>
      </c>
      <c r="G124" s="8">
        <v>134.15840000000009</v>
      </c>
      <c r="H124" s="8">
        <v>190.66979999999981</v>
      </c>
      <c r="I124" s="8">
        <v>160.79939999999993</v>
      </c>
      <c r="J124" s="59"/>
      <c r="K124" s="59"/>
      <c r="L124" s="59"/>
      <c r="M124" s="59"/>
    </row>
    <row r="125" spans="1:15" x14ac:dyDescent="0.3">
      <c r="A125" s="104"/>
      <c r="C125" s="59"/>
      <c r="D125" s="60"/>
      <c r="E125" s="59"/>
      <c r="F125" s="59"/>
      <c r="G125" s="59"/>
      <c r="H125" s="59"/>
      <c r="I125" s="59"/>
      <c r="J125" s="59"/>
      <c r="K125" s="59"/>
      <c r="L125" s="59"/>
      <c r="M125" s="59"/>
    </row>
    <row r="126" spans="1:15" x14ac:dyDescent="0.3">
      <c r="A126" s="104"/>
      <c r="C126" s="59"/>
      <c r="D126" s="60"/>
      <c r="E126" s="59"/>
      <c r="F126" s="59"/>
      <c r="G126" s="59"/>
      <c r="H126" s="59"/>
      <c r="I126" s="59"/>
      <c r="J126" s="59"/>
      <c r="K126" s="59"/>
      <c r="L126" s="59"/>
      <c r="M126" s="59"/>
    </row>
    <row r="127" spans="1:15" ht="18" x14ac:dyDescent="0.35">
      <c r="A127" s="104"/>
      <c r="C127" s="81" t="str">
        <f>D10</f>
        <v>Papiers et emballages hors verre - Coût aidé HT et mode/schéma de collecte</v>
      </c>
      <c r="D127" s="81"/>
      <c r="E127" s="81"/>
      <c r="F127" s="81"/>
      <c r="G127" s="81"/>
      <c r="H127" s="81"/>
      <c r="I127" s="81"/>
      <c r="J127" s="81"/>
      <c r="K127" s="81"/>
      <c r="L127" s="81"/>
      <c r="M127" s="81"/>
    </row>
    <row r="128" spans="1:15" x14ac:dyDescent="0.3">
      <c r="A128" s="104"/>
      <c r="C128" s="106" t="s">
        <v>35</v>
      </c>
      <c r="D128" s="106"/>
      <c r="E128" s="59"/>
      <c r="F128" s="59"/>
      <c r="G128" s="59"/>
      <c r="H128" s="59"/>
      <c r="I128" s="59"/>
      <c r="J128" s="59"/>
      <c r="K128" s="59"/>
      <c r="L128" s="59"/>
      <c r="M128" s="59"/>
    </row>
    <row r="129" spans="1:23" x14ac:dyDescent="0.3">
      <c r="A129" s="104"/>
      <c r="C129" s="66"/>
      <c r="D129" s="124" t="s">
        <v>130</v>
      </c>
      <c r="E129" s="113" t="s">
        <v>63</v>
      </c>
      <c r="F129" s="113"/>
      <c r="G129" s="113"/>
      <c r="H129" s="113" t="s">
        <v>76</v>
      </c>
      <c r="I129" s="113"/>
      <c r="J129" s="113"/>
      <c r="K129" s="113" t="s">
        <v>64</v>
      </c>
      <c r="L129" s="113"/>
      <c r="M129" s="113"/>
    </row>
    <row r="130" spans="1:23" ht="30.6" customHeight="1" x14ac:dyDescent="0.3">
      <c r="A130" s="104"/>
      <c r="C130" s="59"/>
      <c r="D130" s="125"/>
      <c r="E130" s="2" t="s">
        <v>87</v>
      </c>
      <c r="F130" s="2" t="s">
        <v>88</v>
      </c>
      <c r="G130" s="2" t="s">
        <v>89</v>
      </c>
      <c r="H130" s="2" t="s">
        <v>87</v>
      </c>
      <c r="I130" s="2" t="s">
        <v>88</v>
      </c>
      <c r="J130" s="2" t="s">
        <v>89</v>
      </c>
      <c r="K130" s="2" t="s">
        <v>87</v>
      </c>
      <c r="L130" s="2" t="s">
        <v>88</v>
      </c>
      <c r="M130" s="2" t="s">
        <v>89</v>
      </c>
    </row>
    <row r="131" spans="1:23" x14ac:dyDescent="0.3">
      <c r="A131" s="104"/>
      <c r="D131" s="3" t="s">
        <v>36</v>
      </c>
      <c r="E131" s="4">
        <v>3</v>
      </c>
      <c r="F131" s="4">
        <v>3</v>
      </c>
      <c r="G131" s="4">
        <v>109</v>
      </c>
      <c r="H131" s="4">
        <v>81</v>
      </c>
      <c r="I131" s="4">
        <v>6</v>
      </c>
      <c r="J131" s="4">
        <v>137</v>
      </c>
      <c r="K131" s="4">
        <v>36</v>
      </c>
      <c r="L131" s="4">
        <v>13</v>
      </c>
      <c r="M131" s="4">
        <v>20</v>
      </c>
    </row>
    <row r="132" spans="1:23" x14ac:dyDescent="0.3">
      <c r="A132" s="104"/>
      <c r="C132" s="59"/>
      <c r="D132" s="60"/>
      <c r="E132" s="59"/>
      <c r="F132" s="59"/>
      <c r="G132" s="59"/>
      <c r="H132" s="59"/>
      <c r="I132" s="59"/>
      <c r="J132" s="59"/>
      <c r="K132" s="59"/>
      <c r="L132" s="59"/>
      <c r="M132" s="59"/>
    </row>
    <row r="133" spans="1:23" x14ac:dyDescent="0.3">
      <c r="A133" s="104"/>
      <c r="C133" s="59"/>
      <c r="D133" s="60"/>
      <c r="E133" s="113" t="s">
        <v>63</v>
      </c>
      <c r="F133" s="113"/>
      <c r="G133" s="113"/>
      <c r="H133" s="113" t="s">
        <v>76</v>
      </c>
      <c r="I133" s="113"/>
      <c r="J133" s="113"/>
      <c r="K133" s="113" t="s">
        <v>64</v>
      </c>
      <c r="L133" s="113"/>
      <c r="M133" s="113"/>
    </row>
    <row r="134" spans="1:23" x14ac:dyDescent="0.3">
      <c r="A134" s="104"/>
      <c r="C134" s="59"/>
      <c r="D134" s="59"/>
      <c r="E134" s="2" t="s">
        <v>87</v>
      </c>
      <c r="F134" s="2" t="s">
        <v>88</v>
      </c>
      <c r="G134" s="2" t="s">
        <v>89</v>
      </c>
      <c r="H134" s="2" t="s">
        <v>87</v>
      </c>
      <c r="I134" s="2" t="s">
        <v>88</v>
      </c>
      <c r="J134" s="2" t="s">
        <v>89</v>
      </c>
      <c r="K134" s="2" t="s">
        <v>87</v>
      </c>
      <c r="L134" s="2" t="s">
        <v>88</v>
      </c>
      <c r="M134" s="2" t="s">
        <v>89</v>
      </c>
    </row>
    <row r="135" spans="1:23" x14ac:dyDescent="0.3">
      <c r="A135" s="104"/>
      <c r="C135" s="107" t="s">
        <v>39</v>
      </c>
      <c r="D135" s="16" t="s">
        <v>23</v>
      </c>
      <c r="E135" s="28"/>
      <c r="F135" s="28"/>
      <c r="G135" s="28">
        <v>23.244999999999937</v>
      </c>
      <c r="H135" s="28">
        <v>18.714999999999979</v>
      </c>
      <c r="I135" s="28"/>
      <c r="J135" s="28">
        <v>27.050400000000057</v>
      </c>
      <c r="K135" s="28">
        <v>9.454300000000007</v>
      </c>
      <c r="L135" s="28">
        <v>11.294799999999999</v>
      </c>
      <c r="M135" s="28">
        <v>12.156900000000006</v>
      </c>
    </row>
    <row r="136" spans="1:23" x14ac:dyDescent="0.3">
      <c r="A136" s="104"/>
      <c r="C136" s="107"/>
      <c r="D136" s="17" t="s">
        <v>24</v>
      </c>
      <c r="E136" s="33">
        <v>10.468999999999999</v>
      </c>
      <c r="F136" s="33">
        <v>8.8719999999999999</v>
      </c>
      <c r="G136" s="33">
        <v>19.563499999999991</v>
      </c>
      <c r="H136" s="33">
        <v>13.630000000000006</v>
      </c>
      <c r="I136" s="33">
        <v>20.699749999999998</v>
      </c>
      <c r="J136" s="33">
        <v>19.242000000000019</v>
      </c>
      <c r="K136" s="33">
        <v>7.685750000000005</v>
      </c>
      <c r="L136" s="33">
        <v>9.1074999999999999</v>
      </c>
      <c r="M136" s="33">
        <v>7.1504999999999965</v>
      </c>
    </row>
    <row r="137" spans="1:23" s="25" customFormat="1" ht="16.95" customHeight="1" x14ac:dyDescent="0.3">
      <c r="A137" s="104"/>
      <c r="C137" s="107"/>
      <c r="D137" s="31" t="s">
        <v>26</v>
      </c>
      <c r="E137" s="28">
        <v>4.952</v>
      </c>
      <c r="F137" s="28">
        <v>6.6990000000000007</v>
      </c>
      <c r="G137" s="28">
        <v>12.708999999999998</v>
      </c>
      <c r="H137" s="28">
        <v>9.4289999999999843</v>
      </c>
      <c r="I137" s="28">
        <v>12.92</v>
      </c>
      <c r="J137" s="28">
        <v>12.832000000000043</v>
      </c>
      <c r="K137" s="28">
        <v>5.102000000000003</v>
      </c>
      <c r="L137" s="28">
        <v>6.174999999999998</v>
      </c>
      <c r="M137" s="28">
        <v>3.3109999999999999</v>
      </c>
      <c r="O137"/>
      <c r="P137"/>
      <c r="Q137"/>
      <c r="R137"/>
      <c r="S137"/>
      <c r="T137"/>
      <c r="U137"/>
      <c r="V137"/>
      <c r="W137"/>
    </row>
    <row r="138" spans="1:23" x14ac:dyDescent="0.3">
      <c r="A138" s="104"/>
      <c r="C138" s="107"/>
      <c r="D138" s="17" t="s">
        <v>27</v>
      </c>
      <c r="E138" s="33">
        <v>0.51100000000000001</v>
      </c>
      <c r="F138" s="33">
        <v>2.702</v>
      </c>
      <c r="G138" s="33">
        <v>7.5014999999999921</v>
      </c>
      <c r="H138" s="33">
        <v>4.6215000000000073</v>
      </c>
      <c r="I138" s="33">
        <v>-1.0645000000000004</v>
      </c>
      <c r="J138" s="33">
        <v>8.7480000000000242</v>
      </c>
      <c r="K138" s="33">
        <v>3.1612499999999986</v>
      </c>
      <c r="L138" s="33">
        <v>4.4979999999999993</v>
      </c>
      <c r="M138" s="33">
        <v>1.1817500000000005</v>
      </c>
    </row>
    <row r="139" spans="1:23" x14ac:dyDescent="0.3">
      <c r="A139" s="104"/>
      <c r="C139" s="107"/>
      <c r="D139" s="16" t="s">
        <v>28</v>
      </c>
      <c r="E139" s="34"/>
      <c r="F139" s="34"/>
      <c r="G139" s="34">
        <v>2.9710000000000032</v>
      </c>
      <c r="H139" s="34">
        <v>1.2527999999999979</v>
      </c>
      <c r="I139" s="34"/>
      <c r="J139" s="34">
        <v>5.7938000000000045</v>
      </c>
      <c r="K139" s="34">
        <v>1.0747</v>
      </c>
      <c r="L139" s="34">
        <v>0.70040000000000024</v>
      </c>
      <c r="M139" s="34">
        <v>-1.637</v>
      </c>
    </row>
    <row r="140" spans="1:23" x14ac:dyDescent="0.3">
      <c r="A140" s="104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</row>
    <row r="141" spans="1:23" x14ac:dyDescent="0.3">
      <c r="A141" s="104"/>
      <c r="C141" s="59"/>
      <c r="D141" s="59"/>
      <c r="E141" s="113" t="s">
        <v>63</v>
      </c>
      <c r="F141" s="113"/>
      <c r="G141" s="113"/>
      <c r="H141" s="113" t="s">
        <v>76</v>
      </c>
      <c r="I141" s="113"/>
      <c r="J141" s="113"/>
      <c r="K141" s="113" t="s">
        <v>64</v>
      </c>
      <c r="L141" s="113"/>
      <c r="M141" s="113"/>
    </row>
    <row r="142" spans="1:23" x14ac:dyDescent="0.3">
      <c r="A142" s="104"/>
      <c r="C142" s="59"/>
      <c r="D142" s="59"/>
      <c r="E142" s="2" t="s">
        <v>87</v>
      </c>
      <c r="F142" s="2" t="s">
        <v>88</v>
      </c>
      <c r="G142" s="2" t="s">
        <v>89</v>
      </c>
      <c r="H142" s="2" t="s">
        <v>87</v>
      </c>
      <c r="I142" s="2" t="s">
        <v>88</v>
      </c>
      <c r="J142" s="2" t="s">
        <v>89</v>
      </c>
      <c r="K142" s="2" t="s">
        <v>87</v>
      </c>
      <c r="L142" s="2" t="s">
        <v>88</v>
      </c>
      <c r="M142" s="2" t="s">
        <v>89</v>
      </c>
    </row>
    <row r="143" spans="1:23" x14ac:dyDescent="0.3">
      <c r="A143" s="104"/>
      <c r="C143" s="108" t="s">
        <v>40</v>
      </c>
      <c r="D143" s="5" t="s">
        <v>23</v>
      </c>
      <c r="E143" s="6"/>
      <c r="F143" s="6"/>
      <c r="G143" s="6">
        <v>396.13599999999929</v>
      </c>
      <c r="H143" s="6">
        <v>417.40539999999976</v>
      </c>
      <c r="I143" s="6"/>
      <c r="J143" s="6">
        <v>463.29660000000104</v>
      </c>
      <c r="K143" s="6">
        <v>302.57749999999999</v>
      </c>
      <c r="L143" s="6">
        <v>459.29699999999985</v>
      </c>
      <c r="M143" s="6">
        <v>282.51080000000007</v>
      </c>
    </row>
    <row r="144" spans="1:23" x14ac:dyDescent="0.3">
      <c r="A144" s="104"/>
      <c r="C144" s="108"/>
      <c r="D144" s="7" t="s">
        <v>24</v>
      </c>
      <c r="E144" s="8">
        <v>230.57000000000002</v>
      </c>
      <c r="F144" s="8">
        <v>160.76400000000001</v>
      </c>
      <c r="G144" s="8">
        <v>309.9615000000004</v>
      </c>
      <c r="H144" s="8">
        <v>324.02600000000052</v>
      </c>
      <c r="I144" s="8">
        <v>497.80074999999994</v>
      </c>
      <c r="J144" s="8">
        <v>365.70199999999943</v>
      </c>
      <c r="K144" s="8">
        <v>231.4350000000002</v>
      </c>
      <c r="L144" s="8">
        <v>279.5655000000001</v>
      </c>
      <c r="M144" s="8">
        <v>170.07599999999999</v>
      </c>
    </row>
    <row r="145" spans="1:23" x14ac:dyDescent="0.3">
      <c r="A145" s="104"/>
      <c r="C145" s="108"/>
      <c r="D145" s="5" t="s">
        <v>26</v>
      </c>
      <c r="E145" s="9">
        <v>121.71899999999999</v>
      </c>
      <c r="F145" s="9">
        <v>127.962</v>
      </c>
      <c r="G145" s="9">
        <v>222.93999999999969</v>
      </c>
      <c r="H145" s="9">
        <v>220.19499999999979</v>
      </c>
      <c r="I145" s="9">
        <v>204.5675</v>
      </c>
      <c r="J145" s="9">
        <v>238.40100000000075</v>
      </c>
      <c r="K145" s="9">
        <v>129.91199999999995</v>
      </c>
      <c r="L145" s="9">
        <v>164.07300000000004</v>
      </c>
      <c r="M145" s="9">
        <v>74.459499999999991</v>
      </c>
    </row>
    <row r="146" spans="1:23" x14ac:dyDescent="0.3">
      <c r="A146" s="104"/>
      <c r="C146" s="108"/>
      <c r="D146" s="7" t="s">
        <v>27</v>
      </c>
      <c r="E146" s="10">
        <v>15.43</v>
      </c>
      <c r="F146" s="10">
        <v>48.933</v>
      </c>
      <c r="G146" s="10">
        <v>131.83549999999974</v>
      </c>
      <c r="H146" s="10">
        <v>105.06400000000012</v>
      </c>
      <c r="I146" s="10">
        <v>-24.139250000000004</v>
      </c>
      <c r="J146" s="10">
        <v>165.03949999999998</v>
      </c>
      <c r="K146" s="10">
        <v>74.755000000000052</v>
      </c>
      <c r="L146" s="10">
        <v>98.294499999999985</v>
      </c>
      <c r="M146" s="10">
        <v>17.160750000000004</v>
      </c>
    </row>
    <row r="147" spans="1:23" x14ac:dyDescent="0.3">
      <c r="A147" s="104"/>
      <c r="C147" s="108"/>
      <c r="D147" s="5" t="s">
        <v>28</v>
      </c>
      <c r="E147" s="9"/>
      <c r="F147" s="9"/>
      <c r="G147" s="9">
        <v>54.871000000000066</v>
      </c>
      <c r="H147" s="9">
        <v>31.217400000000005</v>
      </c>
      <c r="I147" s="9"/>
      <c r="J147" s="9">
        <v>111.93399999999974</v>
      </c>
      <c r="K147" s="9">
        <v>33.732899999999979</v>
      </c>
      <c r="L147" s="9">
        <v>16.5426</v>
      </c>
      <c r="M147" s="9">
        <v>-30.911600000000011</v>
      </c>
    </row>
    <row r="148" spans="1:23" x14ac:dyDescent="0.3">
      <c r="A148" s="104"/>
      <c r="C148" s="59"/>
      <c r="D148" s="60"/>
      <c r="E148" s="59"/>
      <c r="F148" s="59"/>
      <c r="G148" s="59"/>
      <c r="H148" s="59"/>
      <c r="I148" s="59"/>
      <c r="J148" s="59"/>
      <c r="K148" s="59"/>
      <c r="L148" s="59"/>
      <c r="M148" s="59"/>
    </row>
    <row r="149" spans="1:23" x14ac:dyDescent="0.3">
      <c r="A149" s="104"/>
      <c r="C149" s="59"/>
      <c r="D149" s="60"/>
      <c r="E149" s="59"/>
      <c r="F149" s="59"/>
      <c r="G149" s="59"/>
      <c r="H149" s="59"/>
      <c r="I149" s="59"/>
      <c r="J149" s="59"/>
      <c r="K149" s="59"/>
      <c r="L149" s="59"/>
      <c r="M149" s="59"/>
    </row>
    <row r="150" spans="1:23" ht="18" x14ac:dyDescent="0.35">
      <c r="C150" s="81" t="str">
        <f>D11</f>
        <v>Papiers et emballages hors verre - Charges de pré-collecte et collecte et mode/schéma de collecte</v>
      </c>
      <c r="D150" s="81"/>
      <c r="E150" s="81"/>
      <c r="F150" s="81"/>
      <c r="G150" s="81"/>
      <c r="H150" s="81"/>
      <c r="I150" s="81"/>
      <c r="J150" s="81"/>
      <c r="K150" s="81"/>
      <c r="L150" s="81"/>
      <c r="M150" s="81"/>
    </row>
    <row r="151" spans="1:23" x14ac:dyDescent="0.3">
      <c r="C151" s="106" t="s">
        <v>35</v>
      </c>
      <c r="D151" s="106"/>
      <c r="E151" s="59"/>
      <c r="F151" s="59"/>
      <c r="G151" s="59"/>
      <c r="H151" s="59"/>
      <c r="I151" s="59"/>
      <c r="J151" s="59"/>
      <c r="K151" s="59"/>
      <c r="L151" s="59"/>
      <c r="M151" s="59"/>
    </row>
    <row r="152" spans="1:23" ht="14.4" customHeight="1" x14ac:dyDescent="0.3">
      <c r="C152" s="66"/>
      <c r="D152" s="124" t="s">
        <v>130</v>
      </c>
      <c r="E152" s="113" t="s">
        <v>63</v>
      </c>
      <c r="F152" s="113"/>
      <c r="G152" s="113"/>
      <c r="H152" s="113" t="s">
        <v>76</v>
      </c>
      <c r="I152" s="113"/>
      <c r="J152" s="113"/>
      <c r="K152" s="113" t="s">
        <v>64</v>
      </c>
      <c r="L152" s="113"/>
      <c r="M152" s="113"/>
    </row>
    <row r="153" spans="1:23" ht="28.95" customHeight="1" x14ac:dyDescent="0.3">
      <c r="C153" s="59"/>
      <c r="D153" s="125"/>
      <c r="E153" s="2" t="s">
        <v>87</v>
      </c>
      <c r="F153" s="2" t="s">
        <v>88</v>
      </c>
      <c r="G153" s="2" t="s">
        <v>89</v>
      </c>
      <c r="H153" s="2" t="s">
        <v>87</v>
      </c>
      <c r="I153" s="2" t="s">
        <v>88</v>
      </c>
      <c r="J153" s="2" t="s">
        <v>89</v>
      </c>
      <c r="K153" s="2" t="s">
        <v>87</v>
      </c>
      <c r="L153" s="2" t="s">
        <v>88</v>
      </c>
      <c r="M153" s="2" t="s">
        <v>89</v>
      </c>
    </row>
    <row r="154" spans="1:23" x14ac:dyDescent="0.3">
      <c r="C154" s="59"/>
      <c r="D154" s="3" t="s">
        <v>36</v>
      </c>
      <c r="E154" s="4">
        <v>3</v>
      </c>
      <c r="F154" s="4">
        <v>4</v>
      </c>
      <c r="G154" s="4">
        <v>122</v>
      </c>
      <c r="H154" s="4">
        <v>88</v>
      </c>
      <c r="I154" s="4">
        <v>6</v>
      </c>
      <c r="J154" s="4">
        <v>161</v>
      </c>
      <c r="K154" s="4">
        <v>40</v>
      </c>
      <c r="L154" s="4">
        <v>15</v>
      </c>
      <c r="M154" s="4">
        <v>23</v>
      </c>
    </row>
    <row r="155" spans="1:23" x14ac:dyDescent="0.3">
      <c r="C155" s="59"/>
      <c r="D155" s="60"/>
      <c r="E155" s="59"/>
      <c r="F155" s="59"/>
      <c r="G155" s="59"/>
      <c r="H155" s="59"/>
      <c r="I155" s="59"/>
      <c r="J155" s="59"/>
      <c r="K155" s="59"/>
      <c r="L155" s="59"/>
      <c r="M155" s="59"/>
    </row>
    <row r="156" spans="1:23" x14ac:dyDescent="0.3">
      <c r="C156" s="59"/>
      <c r="D156" s="60"/>
      <c r="E156" s="113" t="s">
        <v>63</v>
      </c>
      <c r="F156" s="113"/>
      <c r="G156" s="113"/>
      <c r="H156" s="113" t="s">
        <v>76</v>
      </c>
      <c r="I156" s="113"/>
      <c r="J156" s="113"/>
      <c r="K156" s="113" t="s">
        <v>64</v>
      </c>
      <c r="L156" s="113"/>
      <c r="M156" s="113"/>
    </row>
    <row r="157" spans="1:23" x14ac:dyDescent="0.3">
      <c r="C157" s="59"/>
      <c r="D157" s="59"/>
      <c r="E157" s="2" t="s">
        <v>87</v>
      </c>
      <c r="F157" s="2" t="s">
        <v>88</v>
      </c>
      <c r="G157" s="2" t="s">
        <v>89</v>
      </c>
      <c r="H157" s="2" t="s">
        <v>87</v>
      </c>
      <c r="I157" s="2" t="s">
        <v>88</v>
      </c>
      <c r="J157" s="2" t="s">
        <v>89</v>
      </c>
      <c r="K157" s="2" t="s">
        <v>87</v>
      </c>
      <c r="L157" s="2" t="s">
        <v>88</v>
      </c>
      <c r="M157" s="2" t="s">
        <v>89</v>
      </c>
    </row>
    <row r="158" spans="1:23" x14ac:dyDescent="0.3">
      <c r="C158" s="107" t="s">
        <v>39</v>
      </c>
      <c r="D158" s="16" t="s">
        <v>23</v>
      </c>
      <c r="E158" s="28"/>
      <c r="F158" s="28"/>
      <c r="G158" s="28">
        <v>21.133299999999974</v>
      </c>
      <c r="H158" s="28">
        <v>22.19720000000002</v>
      </c>
      <c r="I158" s="28"/>
      <c r="J158" s="28">
        <v>22.333200000000026</v>
      </c>
      <c r="K158" s="28">
        <v>14.217699999999997</v>
      </c>
      <c r="L158" s="28">
        <v>16.711999999999996</v>
      </c>
      <c r="M158" s="28">
        <v>13.222600000000002</v>
      </c>
    </row>
    <row r="159" spans="1:23" x14ac:dyDescent="0.3">
      <c r="C159" s="107"/>
      <c r="D159" s="17" t="s">
        <v>24</v>
      </c>
      <c r="E159" s="33">
        <v>13.228</v>
      </c>
      <c r="F159" s="33">
        <v>15.542249999999997</v>
      </c>
      <c r="G159" s="33">
        <v>17.680749999999993</v>
      </c>
      <c r="H159" s="33">
        <v>18.338500000000014</v>
      </c>
      <c r="I159" s="33">
        <v>20.191749999999999</v>
      </c>
      <c r="J159" s="33">
        <v>18.315500000000029</v>
      </c>
      <c r="K159" s="33">
        <v>13.428249999999997</v>
      </c>
      <c r="L159" s="33">
        <v>12.295999999999996</v>
      </c>
      <c r="M159" s="33">
        <v>9.9310000000000045</v>
      </c>
    </row>
    <row r="160" spans="1:23" s="25" customFormat="1" ht="17.399999999999999" customHeight="1" x14ac:dyDescent="0.3">
      <c r="A160"/>
      <c r="C160" s="107"/>
      <c r="D160" s="31" t="s">
        <v>26</v>
      </c>
      <c r="E160" s="28">
        <v>10.730999999995598</v>
      </c>
      <c r="F160" s="28">
        <v>9.9209999999982603</v>
      </c>
      <c r="G160" s="28">
        <v>14.704499999995489</v>
      </c>
      <c r="H160" s="28">
        <v>13.878999999977031</v>
      </c>
      <c r="I160" s="28">
        <v>18.225999999997644</v>
      </c>
      <c r="J160" s="28">
        <v>15.203999999987948</v>
      </c>
      <c r="K160" s="28">
        <v>9.2869999999998267</v>
      </c>
      <c r="L160" s="28">
        <v>10.997999999991551</v>
      </c>
      <c r="M160" s="28">
        <v>8.1869999999930858</v>
      </c>
      <c r="O160"/>
      <c r="P160"/>
      <c r="Q160"/>
      <c r="R160"/>
      <c r="S160"/>
      <c r="T160"/>
      <c r="U160"/>
      <c r="V160"/>
      <c r="W160"/>
    </row>
    <row r="161" spans="1:13" x14ac:dyDescent="0.3">
      <c r="C161" s="107"/>
      <c r="D161" s="17" t="s">
        <v>27</v>
      </c>
      <c r="E161" s="33">
        <v>9.6310000000000002</v>
      </c>
      <c r="F161" s="33">
        <v>9.3375000000000004</v>
      </c>
      <c r="G161" s="33">
        <v>12.15425000000003</v>
      </c>
      <c r="H161" s="33">
        <v>11.048499999999992</v>
      </c>
      <c r="I161" s="33">
        <v>10.509250000000002</v>
      </c>
      <c r="J161" s="33">
        <v>12.191499999999962</v>
      </c>
      <c r="K161" s="33">
        <v>7.9069999999999991</v>
      </c>
      <c r="L161" s="33">
        <v>8.8470000000000049</v>
      </c>
      <c r="M161" s="33">
        <v>7.0430000000000037</v>
      </c>
    </row>
    <row r="162" spans="1:13" x14ac:dyDescent="0.3">
      <c r="C162" s="107"/>
      <c r="D162" s="16" t="s">
        <v>28</v>
      </c>
      <c r="E162" s="34"/>
      <c r="F162" s="34"/>
      <c r="G162" s="34">
        <v>10.149899999999981</v>
      </c>
      <c r="H162" s="34">
        <v>9.1226000000000056</v>
      </c>
      <c r="I162" s="34"/>
      <c r="J162" s="34">
        <v>10.136799999999996</v>
      </c>
      <c r="K162" s="34">
        <v>6.3357000000000019</v>
      </c>
      <c r="L162" s="34">
        <v>7.0690000000000017</v>
      </c>
      <c r="M162" s="34">
        <v>5.8880000000000017</v>
      </c>
    </row>
    <row r="163" spans="1:13" x14ac:dyDescent="0.3">
      <c r="C163" s="59"/>
      <c r="D163" s="60"/>
      <c r="E163" s="59"/>
      <c r="F163" s="59"/>
      <c r="G163" s="59"/>
      <c r="H163" s="59"/>
      <c r="I163" s="59"/>
      <c r="J163" s="59"/>
      <c r="K163" s="59"/>
      <c r="L163" s="59"/>
      <c r="M163" s="59"/>
    </row>
    <row r="164" spans="1:13" x14ac:dyDescent="0.3">
      <c r="C164" s="59"/>
      <c r="D164" s="60"/>
      <c r="E164" s="113" t="s">
        <v>63</v>
      </c>
      <c r="F164" s="113"/>
      <c r="G164" s="113"/>
      <c r="H164" s="113" t="s">
        <v>76</v>
      </c>
      <c r="I164" s="113"/>
      <c r="J164" s="113"/>
      <c r="K164" s="113" t="s">
        <v>64</v>
      </c>
      <c r="L164" s="113"/>
      <c r="M164" s="113"/>
    </row>
    <row r="165" spans="1:13" x14ac:dyDescent="0.3">
      <c r="C165" s="59"/>
      <c r="D165" s="59"/>
      <c r="E165" s="2" t="s">
        <v>87</v>
      </c>
      <c r="F165" s="2" t="s">
        <v>88</v>
      </c>
      <c r="G165" s="2" t="s">
        <v>89</v>
      </c>
      <c r="H165" s="2" t="s">
        <v>87</v>
      </c>
      <c r="I165" s="2" t="s">
        <v>88</v>
      </c>
      <c r="J165" s="2" t="s">
        <v>89</v>
      </c>
      <c r="K165" s="2" t="s">
        <v>87</v>
      </c>
      <c r="L165" s="2" t="s">
        <v>88</v>
      </c>
      <c r="M165" s="2" t="s">
        <v>89</v>
      </c>
    </row>
    <row r="166" spans="1:13" x14ac:dyDescent="0.3">
      <c r="C166" s="108" t="s">
        <v>40</v>
      </c>
      <c r="D166" s="5" t="s">
        <v>23</v>
      </c>
      <c r="E166" s="6"/>
      <c r="F166" s="6"/>
      <c r="G166" s="6">
        <v>348.65069999999906</v>
      </c>
      <c r="H166" s="6">
        <v>427.75900000000058</v>
      </c>
      <c r="I166" s="6"/>
      <c r="J166" s="6">
        <v>371.24040000000082</v>
      </c>
      <c r="K166" s="6">
        <v>382.06589999999971</v>
      </c>
      <c r="L166" s="6">
        <v>378.47879999999992</v>
      </c>
      <c r="M166" s="6">
        <v>303.34040000000005</v>
      </c>
    </row>
    <row r="167" spans="1:13" x14ac:dyDescent="0.3">
      <c r="C167" s="108"/>
      <c r="D167" s="7" t="s">
        <v>24</v>
      </c>
      <c r="E167" s="8">
        <v>323.87399999999997</v>
      </c>
      <c r="F167" s="8">
        <v>296.07449999999994</v>
      </c>
      <c r="G167" s="8">
        <v>310.69374999999934</v>
      </c>
      <c r="H167" s="8">
        <v>365.01499999999965</v>
      </c>
      <c r="I167" s="8">
        <v>510.94675000000001</v>
      </c>
      <c r="J167" s="8">
        <v>317.52599999999978</v>
      </c>
      <c r="K167" s="8">
        <v>336.75725000000017</v>
      </c>
      <c r="L167" s="8">
        <v>351.64099999999991</v>
      </c>
      <c r="M167" s="8">
        <v>268.36099999999993</v>
      </c>
    </row>
    <row r="168" spans="1:13" x14ac:dyDescent="0.3">
      <c r="C168" s="108"/>
      <c r="D168" s="5" t="s">
        <v>26</v>
      </c>
      <c r="E168" s="9">
        <v>291.22399999978205</v>
      </c>
      <c r="F168" s="9">
        <v>213.44449999972738</v>
      </c>
      <c r="G168" s="9">
        <v>252.53399999998871</v>
      </c>
      <c r="H168" s="9">
        <v>294.6309999999757</v>
      </c>
      <c r="I168" s="9">
        <v>319.42499999912678</v>
      </c>
      <c r="J168" s="9">
        <v>277.78599999923085</v>
      </c>
      <c r="K168" s="9">
        <v>273.50199999949297</v>
      </c>
      <c r="L168" s="9">
        <v>287.6419999995727</v>
      </c>
      <c r="M168" s="9">
        <v>201.43099999942839</v>
      </c>
    </row>
    <row r="169" spans="1:13" x14ac:dyDescent="0.3">
      <c r="C169" s="108"/>
      <c r="D169" s="7" t="s">
        <v>27</v>
      </c>
      <c r="E169" s="10">
        <v>236.73400000000001</v>
      </c>
      <c r="F169" s="10">
        <v>183.65875</v>
      </c>
      <c r="G169" s="10">
        <v>210.64949999999962</v>
      </c>
      <c r="H169" s="10">
        <v>264.07700000000017</v>
      </c>
      <c r="I169" s="10">
        <v>236.89024999999995</v>
      </c>
      <c r="J169" s="10">
        <v>238.36400000000069</v>
      </c>
      <c r="K169" s="10">
        <v>225.66125000000002</v>
      </c>
      <c r="L169" s="10">
        <v>239.09000000000006</v>
      </c>
      <c r="M169" s="10">
        <v>167.85499999999999</v>
      </c>
    </row>
    <row r="170" spans="1:13" x14ac:dyDescent="0.3">
      <c r="C170" s="108"/>
      <c r="D170" s="5" t="s">
        <v>28</v>
      </c>
      <c r="E170" s="9"/>
      <c r="F170" s="9"/>
      <c r="G170" s="9">
        <v>168.73410000000013</v>
      </c>
      <c r="H170" s="9">
        <v>232.07519999999968</v>
      </c>
      <c r="I170" s="9"/>
      <c r="J170" s="9">
        <v>199.32400000000035</v>
      </c>
      <c r="K170" s="9">
        <v>202.12200000000013</v>
      </c>
      <c r="L170" s="9">
        <v>220.10800000000006</v>
      </c>
      <c r="M170" s="9">
        <v>131.49400000000003</v>
      </c>
    </row>
    <row r="171" spans="1:13" x14ac:dyDescent="0.3">
      <c r="C171" s="59"/>
      <c r="D171" s="60"/>
      <c r="E171" s="59"/>
      <c r="F171" s="59"/>
      <c r="G171" s="59"/>
      <c r="H171" s="59"/>
      <c r="I171" s="59"/>
      <c r="J171" s="59"/>
      <c r="K171" s="59"/>
      <c r="L171" s="59"/>
      <c r="M171" s="59"/>
    </row>
    <row r="172" spans="1:13" x14ac:dyDescent="0.3">
      <c r="C172" s="59"/>
      <c r="D172" s="60"/>
      <c r="E172" s="59"/>
      <c r="F172" s="59"/>
      <c r="G172" s="59"/>
      <c r="H172" s="59"/>
      <c r="I172" s="59"/>
      <c r="J172" s="59"/>
      <c r="K172" s="59"/>
      <c r="L172" s="59"/>
      <c r="M172" s="59"/>
    </row>
    <row r="173" spans="1:13" ht="18" x14ac:dyDescent="0.35">
      <c r="A173" s="104"/>
      <c r="C173" s="81" t="str">
        <f>D12</f>
        <v>Papiers et emballages hors verre - Charges de pré-collecte et mode/schéma de collecte</v>
      </c>
      <c r="D173" s="81"/>
      <c r="E173" s="81"/>
      <c r="F173" s="81"/>
      <c r="G173" s="81"/>
      <c r="H173" s="81"/>
      <c r="I173" s="81"/>
      <c r="J173" s="81"/>
      <c r="K173" s="81"/>
      <c r="L173" s="81"/>
      <c r="M173" s="81"/>
    </row>
    <row r="174" spans="1:13" x14ac:dyDescent="0.3">
      <c r="A174" s="104"/>
      <c r="C174" s="106" t="s">
        <v>35</v>
      </c>
      <c r="D174" s="106"/>
      <c r="E174" s="59"/>
      <c r="F174" s="59"/>
      <c r="G174" s="59"/>
      <c r="H174" s="59"/>
      <c r="I174" s="59"/>
      <c r="J174" s="59"/>
      <c r="K174" s="59"/>
      <c r="L174" s="59"/>
      <c r="M174" s="59"/>
    </row>
    <row r="175" spans="1:13" ht="14.4" customHeight="1" x14ac:dyDescent="0.3">
      <c r="A175" s="104"/>
      <c r="C175" s="66"/>
      <c r="D175" s="124" t="s">
        <v>130</v>
      </c>
      <c r="E175" s="113" t="s">
        <v>63</v>
      </c>
      <c r="F175" s="113"/>
      <c r="G175" s="113"/>
      <c r="H175" s="113" t="s">
        <v>76</v>
      </c>
      <c r="I175" s="113"/>
      <c r="J175" s="113"/>
      <c r="K175" s="113" t="s">
        <v>64</v>
      </c>
      <c r="L175" s="113"/>
      <c r="M175" s="113"/>
    </row>
    <row r="176" spans="1:13" ht="33" customHeight="1" x14ac:dyDescent="0.3">
      <c r="A176" s="104"/>
      <c r="C176" s="59"/>
      <c r="D176" s="125"/>
      <c r="E176" s="2" t="s">
        <v>87</v>
      </c>
      <c r="F176" s="2" t="s">
        <v>88</v>
      </c>
      <c r="G176" s="2" t="s">
        <v>89</v>
      </c>
      <c r="H176" s="2" t="s">
        <v>87</v>
      </c>
      <c r="I176" s="2" t="s">
        <v>88</v>
      </c>
      <c r="J176" s="2" t="s">
        <v>89</v>
      </c>
      <c r="K176" s="2" t="s">
        <v>87</v>
      </c>
      <c r="L176" s="2" t="s">
        <v>88</v>
      </c>
      <c r="M176" s="2" t="s">
        <v>89</v>
      </c>
    </row>
    <row r="177" spans="1:23" x14ac:dyDescent="0.3">
      <c r="A177" s="104"/>
      <c r="D177" s="3" t="s">
        <v>36</v>
      </c>
      <c r="E177" s="4">
        <f t="shared" ref="E177:M177" si="0">E154</f>
        <v>3</v>
      </c>
      <c r="F177" s="4">
        <f t="shared" si="0"/>
        <v>4</v>
      </c>
      <c r="G177" s="4">
        <f t="shared" si="0"/>
        <v>122</v>
      </c>
      <c r="H177" s="4">
        <f t="shared" si="0"/>
        <v>88</v>
      </c>
      <c r="I177" s="4">
        <f t="shared" si="0"/>
        <v>6</v>
      </c>
      <c r="J177" s="4">
        <f t="shared" si="0"/>
        <v>161</v>
      </c>
      <c r="K177" s="4">
        <f t="shared" si="0"/>
        <v>40</v>
      </c>
      <c r="L177" s="4">
        <f t="shared" si="0"/>
        <v>15</v>
      </c>
      <c r="M177" s="4">
        <f t="shared" si="0"/>
        <v>23</v>
      </c>
    </row>
    <row r="178" spans="1:23" x14ac:dyDescent="0.3">
      <c r="A178" s="104"/>
      <c r="C178" s="59"/>
      <c r="D178" s="60"/>
      <c r="E178" s="59"/>
      <c r="F178" s="59"/>
      <c r="G178" s="59"/>
      <c r="H178" s="59"/>
      <c r="I178" s="65"/>
      <c r="J178" s="65"/>
      <c r="K178" s="59"/>
      <c r="L178" s="59"/>
      <c r="M178" s="59"/>
    </row>
    <row r="179" spans="1:23" x14ac:dyDescent="0.3">
      <c r="A179" s="104"/>
      <c r="C179" s="59"/>
      <c r="D179" s="60"/>
      <c r="E179" s="113" t="s">
        <v>63</v>
      </c>
      <c r="F179" s="113"/>
      <c r="G179" s="113"/>
      <c r="H179" s="113" t="s">
        <v>76</v>
      </c>
      <c r="I179" s="113"/>
      <c r="J179" s="113"/>
      <c r="K179" s="113" t="s">
        <v>64</v>
      </c>
      <c r="L179" s="113"/>
      <c r="M179" s="113"/>
    </row>
    <row r="180" spans="1:23" x14ac:dyDescent="0.3">
      <c r="A180" s="104"/>
      <c r="C180" s="59"/>
      <c r="D180" s="59"/>
      <c r="E180" s="2" t="s">
        <v>87</v>
      </c>
      <c r="F180" s="2" t="s">
        <v>88</v>
      </c>
      <c r="G180" s="2" t="s">
        <v>89</v>
      </c>
      <c r="H180" s="2" t="s">
        <v>87</v>
      </c>
      <c r="I180" s="2" t="s">
        <v>88</v>
      </c>
      <c r="J180" s="2" t="s">
        <v>89</v>
      </c>
      <c r="K180" s="2" t="s">
        <v>87</v>
      </c>
      <c r="L180" s="2" t="s">
        <v>88</v>
      </c>
      <c r="M180" s="2" t="s">
        <v>89</v>
      </c>
    </row>
    <row r="181" spans="1:23" ht="15" customHeight="1" x14ac:dyDescent="0.3">
      <c r="A181" s="104"/>
      <c r="C181" s="107" t="s">
        <v>39</v>
      </c>
      <c r="D181" s="16" t="s">
        <v>23</v>
      </c>
      <c r="E181" s="28"/>
      <c r="F181" s="28"/>
      <c r="G181" s="28">
        <v>2.7320000000000064</v>
      </c>
      <c r="H181" s="28">
        <v>3.9889000000000006</v>
      </c>
      <c r="I181" s="28"/>
      <c r="J181" s="28">
        <v>3.9500000000000024</v>
      </c>
      <c r="K181" s="28">
        <v>4.9159999999999977</v>
      </c>
      <c r="L181" s="28">
        <v>4.4172000000000002</v>
      </c>
      <c r="M181" s="28">
        <v>5.6971999999999978</v>
      </c>
    </row>
    <row r="182" spans="1:23" x14ac:dyDescent="0.3">
      <c r="A182" s="104"/>
      <c r="C182" s="107"/>
      <c r="D182" s="17" t="s">
        <v>24</v>
      </c>
      <c r="E182" s="33">
        <v>2.1619999999999999</v>
      </c>
      <c r="F182" s="33">
        <v>2.2395</v>
      </c>
      <c r="G182" s="33">
        <v>2.1822500000000038</v>
      </c>
      <c r="H182" s="33">
        <v>2.9987499999999998</v>
      </c>
      <c r="I182" s="33">
        <v>4.8387500000000001</v>
      </c>
      <c r="J182" s="33">
        <v>2.6105000000000014</v>
      </c>
      <c r="K182" s="33">
        <v>2.6465000000000023</v>
      </c>
      <c r="L182" s="33">
        <v>3.5409999999999986</v>
      </c>
      <c r="M182" s="33">
        <v>3.2990000000000008</v>
      </c>
    </row>
    <row r="183" spans="1:23" s="25" customFormat="1" ht="19.95" customHeight="1" x14ac:dyDescent="0.3">
      <c r="A183" s="104"/>
      <c r="C183" s="107"/>
      <c r="D183" s="31" t="s">
        <v>26</v>
      </c>
      <c r="E183" s="28">
        <v>1.7979999999993321</v>
      </c>
      <c r="F183" s="28">
        <v>1.4324999999974051</v>
      </c>
      <c r="G183" s="28">
        <v>1.4929999999963084</v>
      </c>
      <c r="H183" s="28">
        <v>2.0039999999944795</v>
      </c>
      <c r="I183" s="28">
        <v>2.7099999999960942</v>
      </c>
      <c r="J183" s="28">
        <v>1.7139999999993487</v>
      </c>
      <c r="K183" s="28">
        <v>1.5129999999946695</v>
      </c>
      <c r="L183" s="28">
        <v>2.4829999999893602</v>
      </c>
      <c r="M183" s="28">
        <v>1.8529999999940479</v>
      </c>
      <c r="O183"/>
      <c r="P183"/>
      <c r="Q183"/>
      <c r="R183"/>
      <c r="S183"/>
      <c r="T183"/>
      <c r="U183"/>
      <c r="V183"/>
      <c r="W183"/>
    </row>
    <row r="184" spans="1:23" x14ac:dyDescent="0.3">
      <c r="A184" s="104"/>
      <c r="C184" s="107"/>
      <c r="D184" s="17" t="s">
        <v>27</v>
      </c>
      <c r="E184" s="33">
        <v>1.631</v>
      </c>
      <c r="F184" s="33">
        <v>0.78300000000000003</v>
      </c>
      <c r="G184" s="33">
        <v>0.88500000000000179</v>
      </c>
      <c r="H184" s="33">
        <v>1.2607500000000014</v>
      </c>
      <c r="I184" s="33">
        <v>1.7564999999999997</v>
      </c>
      <c r="J184" s="33">
        <v>1.2090000000000025</v>
      </c>
      <c r="K184" s="33">
        <v>0.77925000000000044</v>
      </c>
      <c r="L184" s="33">
        <v>1.163</v>
      </c>
      <c r="M184" s="33">
        <v>1.0970000000000002</v>
      </c>
    </row>
    <row r="185" spans="1:23" x14ac:dyDescent="0.3">
      <c r="A185" s="104"/>
      <c r="C185" s="107"/>
      <c r="D185" s="16" t="s">
        <v>28</v>
      </c>
      <c r="E185" s="34"/>
      <c r="F185" s="34"/>
      <c r="G185" s="34">
        <v>0.37800000000000006</v>
      </c>
      <c r="H185" s="34">
        <v>0.78699999999999981</v>
      </c>
      <c r="I185" s="34"/>
      <c r="J185" s="34">
        <v>0.95579999999999965</v>
      </c>
      <c r="K185" s="34">
        <v>0.4036000000000004</v>
      </c>
      <c r="L185" s="34">
        <v>0.64860000000000007</v>
      </c>
      <c r="M185" s="34">
        <v>0.50680000000000014</v>
      </c>
    </row>
    <row r="186" spans="1:23" x14ac:dyDescent="0.3">
      <c r="A186" s="104"/>
      <c r="C186" s="68"/>
      <c r="D186" s="59"/>
      <c r="E186" s="59"/>
      <c r="F186" s="59"/>
      <c r="G186" s="59"/>
      <c r="H186" s="59"/>
      <c r="I186" s="59"/>
      <c r="J186" s="59"/>
      <c r="K186" s="59"/>
      <c r="L186" s="59"/>
      <c r="M186" s="59"/>
    </row>
    <row r="187" spans="1:23" x14ac:dyDescent="0.3">
      <c r="A187" s="104"/>
      <c r="C187" s="59"/>
      <c r="D187" s="60"/>
      <c r="E187" s="113" t="s">
        <v>63</v>
      </c>
      <c r="F187" s="113"/>
      <c r="G187" s="113"/>
      <c r="H187" s="113" t="s">
        <v>76</v>
      </c>
      <c r="I187" s="113"/>
      <c r="J187" s="113"/>
      <c r="K187" s="113" t="s">
        <v>64</v>
      </c>
      <c r="L187" s="113"/>
      <c r="M187" s="113"/>
    </row>
    <row r="188" spans="1:23" x14ac:dyDescent="0.3">
      <c r="A188" s="104"/>
      <c r="C188" s="59"/>
      <c r="D188" s="59"/>
      <c r="E188" s="2" t="s">
        <v>87</v>
      </c>
      <c r="F188" s="2" t="s">
        <v>88</v>
      </c>
      <c r="G188" s="2" t="s">
        <v>89</v>
      </c>
      <c r="H188" s="2" t="s">
        <v>87</v>
      </c>
      <c r="I188" s="2" t="s">
        <v>88</v>
      </c>
      <c r="J188" s="2" t="s">
        <v>89</v>
      </c>
      <c r="K188" s="2" t="s">
        <v>87</v>
      </c>
      <c r="L188" s="2" t="s">
        <v>88</v>
      </c>
      <c r="M188" s="2" t="s">
        <v>89</v>
      </c>
    </row>
    <row r="189" spans="1:23" x14ac:dyDescent="0.3">
      <c r="A189" s="104"/>
      <c r="C189" s="108" t="s">
        <v>40</v>
      </c>
      <c r="D189" s="5" t="s">
        <v>23</v>
      </c>
      <c r="E189" s="6"/>
      <c r="F189" s="6"/>
      <c r="G189" s="6">
        <v>48.420000000000059</v>
      </c>
      <c r="H189" s="6">
        <v>82.125900000000016</v>
      </c>
      <c r="I189" s="6"/>
      <c r="J189" s="6">
        <v>70.72340000000014</v>
      </c>
      <c r="K189" s="6">
        <v>116.60899999999999</v>
      </c>
      <c r="L189" s="6">
        <v>124.98900000000002</v>
      </c>
      <c r="M189" s="6">
        <v>141.21180000000001</v>
      </c>
    </row>
    <row r="190" spans="1:23" x14ac:dyDescent="0.3">
      <c r="A190" s="104"/>
      <c r="C190" s="108"/>
      <c r="D190" s="7" t="s">
        <v>24</v>
      </c>
      <c r="E190" s="8">
        <v>53.140999999999998</v>
      </c>
      <c r="F190" s="8">
        <v>55.175250000000005</v>
      </c>
      <c r="G190" s="8">
        <v>38.988999999999969</v>
      </c>
      <c r="H190" s="8">
        <v>61.694000000000074</v>
      </c>
      <c r="I190" s="8">
        <v>96.024249999999995</v>
      </c>
      <c r="J190" s="8">
        <v>51.726999999999926</v>
      </c>
      <c r="K190" s="8">
        <v>73.278999999999996</v>
      </c>
      <c r="L190" s="8">
        <v>79.805000000000035</v>
      </c>
      <c r="M190" s="8">
        <v>85.201999999999998</v>
      </c>
    </row>
    <row r="191" spans="1:23" x14ac:dyDescent="0.3">
      <c r="A191" s="104"/>
      <c r="C191" s="108"/>
      <c r="D191" s="5" t="s">
        <v>26</v>
      </c>
      <c r="E191" s="9">
        <v>49.223999999961428</v>
      </c>
      <c r="F191" s="9">
        <v>25.950999999953119</v>
      </c>
      <c r="G191" s="9">
        <v>26.005499999912018</v>
      </c>
      <c r="H191" s="9">
        <v>43.022499999976027</v>
      </c>
      <c r="I191" s="9">
        <v>56.617499999996198</v>
      </c>
      <c r="J191" s="9">
        <v>33.241999999924978</v>
      </c>
      <c r="K191" s="9">
        <v>48.468499999947703</v>
      </c>
      <c r="L191" s="9">
        <v>65.931999999990026</v>
      </c>
      <c r="M191" s="9">
        <v>40.754999999963417</v>
      </c>
    </row>
    <row r="192" spans="1:23" x14ac:dyDescent="0.3">
      <c r="A192" s="104"/>
      <c r="C192" s="108"/>
      <c r="D192" s="7" t="s">
        <v>27</v>
      </c>
      <c r="E192" s="10">
        <v>39.584000000000003</v>
      </c>
      <c r="F192" s="10">
        <v>14.672000000000001</v>
      </c>
      <c r="G192" s="10">
        <v>15.518749999999969</v>
      </c>
      <c r="H192" s="10">
        <v>29.279</v>
      </c>
      <c r="I192" s="10">
        <v>40.579250000000002</v>
      </c>
      <c r="J192" s="10">
        <v>23.297500000000035</v>
      </c>
      <c r="K192" s="10">
        <v>24.47799999999998</v>
      </c>
      <c r="L192" s="10">
        <v>35.846999999999994</v>
      </c>
      <c r="M192" s="10">
        <v>26.993000000000006</v>
      </c>
    </row>
    <row r="193" spans="1:24" ht="15" customHeight="1" x14ac:dyDescent="0.3">
      <c r="A193" s="104"/>
      <c r="C193" s="108"/>
      <c r="D193" s="5" t="s">
        <v>28</v>
      </c>
      <c r="E193" s="9"/>
      <c r="F193" s="9"/>
      <c r="G193" s="9">
        <v>6.0208999999999904</v>
      </c>
      <c r="H193" s="9">
        <v>17.561400000000031</v>
      </c>
      <c r="I193" s="9"/>
      <c r="J193" s="9">
        <v>15.480799999999993</v>
      </c>
      <c r="K193" s="9">
        <v>15.225299999999994</v>
      </c>
      <c r="L193" s="9">
        <v>18.344799999999999</v>
      </c>
      <c r="M193" s="9">
        <v>12.198800000000004</v>
      </c>
    </row>
    <row r="194" spans="1:24" x14ac:dyDescent="0.3">
      <c r="A194" s="104"/>
      <c r="C194" s="59"/>
      <c r="D194" s="60"/>
      <c r="E194" s="59"/>
      <c r="F194" s="59"/>
      <c r="G194" s="59"/>
      <c r="H194" s="59"/>
      <c r="I194" s="59"/>
      <c r="J194" s="59"/>
      <c r="K194" s="59"/>
      <c r="L194" s="59"/>
      <c r="M194" s="59"/>
    </row>
    <row r="195" spans="1:24" x14ac:dyDescent="0.3">
      <c r="A195" s="104"/>
      <c r="C195" s="59"/>
      <c r="D195" s="60"/>
      <c r="E195" s="59"/>
      <c r="F195" s="59"/>
      <c r="G195" s="59"/>
      <c r="H195" s="59"/>
      <c r="I195" s="59"/>
      <c r="J195" s="59"/>
      <c r="K195" s="59"/>
      <c r="L195" s="59"/>
      <c r="M195" s="59"/>
    </row>
    <row r="196" spans="1:24" ht="18" x14ac:dyDescent="0.35">
      <c r="A196" s="104"/>
      <c r="C196" s="81" t="str">
        <f>D13</f>
        <v>Papiers et emballages hors verre - Charges de collecte et mode/schéma de collecte</v>
      </c>
      <c r="D196" s="81"/>
      <c r="E196" s="81"/>
      <c r="F196" s="81"/>
      <c r="G196" s="81"/>
      <c r="H196" s="81"/>
      <c r="I196" s="81"/>
      <c r="J196" s="81"/>
      <c r="K196" s="81"/>
      <c r="L196" s="81"/>
      <c r="M196" s="81"/>
    </row>
    <row r="197" spans="1:24" x14ac:dyDescent="0.3">
      <c r="A197" s="104"/>
      <c r="C197" s="106" t="s">
        <v>35</v>
      </c>
      <c r="D197" s="106"/>
      <c r="E197" s="59"/>
      <c r="F197" s="59"/>
      <c r="G197" s="59"/>
      <c r="H197" s="59"/>
      <c r="I197" s="59"/>
      <c r="J197" s="59"/>
      <c r="K197" s="59"/>
      <c r="L197" s="59"/>
      <c r="M197" s="59"/>
    </row>
    <row r="198" spans="1:24" ht="14.4" customHeight="1" x14ac:dyDescent="0.3">
      <c r="A198" s="104"/>
      <c r="C198" s="66"/>
      <c r="D198" s="124" t="s">
        <v>130</v>
      </c>
      <c r="E198" s="113" t="s">
        <v>63</v>
      </c>
      <c r="F198" s="113"/>
      <c r="G198" s="113"/>
      <c r="H198" s="113" t="s">
        <v>76</v>
      </c>
      <c r="I198" s="113"/>
      <c r="J198" s="113"/>
      <c r="K198" s="113" t="s">
        <v>64</v>
      </c>
      <c r="L198" s="113"/>
      <c r="M198" s="113"/>
    </row>
    <row r="199" spans="1:24" ht="35.4" customHeight="1" x14ac:dyDescent="0.3">
      <c r="A199" s="104"/>
      <c r="C199" s="59"/>
      <c r="D199" s="125"/>
      <c r="E199" s="2" t="s">
        <v>87</v>
      </c>
      <c r="F199" s="2" t="s">
        <v>88</v>
      </c>
      <c r="G199" s="2" t="s">
        <v>89</v>
      </c>
      <c r="H199" s="2" t="s">
        <v>87</v>
      </c>
      <c r="I199" s="2" t="s">
        <v>88</v>
      </c>
      <c r="J199" s="2" t="s">
        <v>89</v>
      </c>
      <c r="K199" s="2" t="s">
        <v>87</v>
      </c>
      <c r="L199" s="2" t="s">
        <v>88</v>
      </c>
      <c r="M199" s="2" t="s">
        <v>89</v>
      </c>
    </row>
    <row r="200" spans="1:24" x14ac:dyDescent="0.3">
      <c r="A200" s="104"/>
      <c r="C200" s="59"/>
      <c r="D200" s="3" t="s">
        <v>36</v>
      </c>
      <c r="E200" s="4">
        <f>E177</f>
        <v>3</v>
      </c>
      <c r="F200" s="4">
        <f t="shared" ref="F200:M200" si="1">F177</f>
        <v>4</v>
      </c>
      <c r="G200" s="4">
        <f t="shared" si="1"/>
        <v>122</v>
      </c>
      <c r="H200" s="4">
        <f t="shared" si="1"/>
        <v>88</v>
      </c>
      <c r="I200" s="4">
        <f t="shared" si="1"/>
        <v>6</v>
      </c>
      <c r="J200" s="4">
        <f t="shared" si="1"/>
        <v>161</v>
      </c>
      <c r="K200" s="4">
        <f t="shared" si="1"/>
        <v>40</v>
      </c>
      <c r="L200" s="4">
        <f t="shared" si="1"/>
        <v>15</v>
      </c>
      <c r="M200" s="4">
        <f t="shared" si="1"/>
        <v>23</v>
      </c>
    </row>
    <row r="201" spans="1:24" x14ac:dyDescent="0.3">
      <c r="A201" s="104"/>
      <c r="C201" s="59"/>
      <c r="D201" s="60"/>
      <c r="E201" s="59"/>
      <c r="F201" s="59"/>
      <c r="G201" s="59"/>
      <c r="H201" s="59"/>
      <c r="I201" s="59"/>
      <c r="J201" s="59"/>
      <c r="K201" s="59"/>
      <c r="L201" s="59"/>
      <c r="M201" s="59"/>
    </row>
    <row r="202" spans="1:24" x14ac:dyDescent="0.3">
      <c r="A202" s="104"/>
      <c r="C202" s="59"/>
      <c r="D202" s="60"/>
      <c r="E202" s="113" t="s">
        <v>63</v>
      </c>
      <c r="F202" s="113"/>
      <c r="G202" s="113"/>
      <c r="H202" s="113" t="s">
        <v>76</v>
      </c>
      <c r="I202" s="113"/>
      <c r="J202" s="113"/>
      <c r="K202" s="113" t="s">
        <v>64</v>
      </c>
      <c r="L202" s="113"/>
      <c r="M202" s="113"/>
    </row>
    <row r="203" spans="1:24" x14ac:dyDescent="0.3">
      <c r="A203" s="104"/>
      <c r="C203" s="59"/>
      <c r="D203" s="59"/>
      <c r="E203" s="2" t="s">
        <v>87</v>
      </c>
      <c r="F203" s="2" t="s">
        <v>88</v>
      </c>
      <c r="G203" s="2" t="s">
        <v>89</v>
      </c>
      <c r="H203" s="2" t="s">
        <v>87</v>
      </c>
      <c r="I203" s="2" t="s">
        <v>88</v>
      </c>
      <c r="J203" s="2" t="s">
        <v>89</v>
      </c>
      <c r="K203" s="2" t="s">
        <v>87</v>
      </c>
      <c r="L203" s="2" t="s">
        <v>88</v>
      </c>
      <c r="M203" s="2" t="s">
        <v>89</v>
      </c>
    </row>
    <row r="204" spans="1:24" x14ac:dyDescent="0.3">
      <c r="A204" s="104"/>
      <c r="C204" s="107" t="s">
        <v>39</v>
      </c>
      <c r="D204" s="16" t="s">
        <v>23</v>
      </c>
      <c r="E204" s="28"/>
      <c r="F204" s="28"/>
      <c r="G204" s="28">
        <v>19.233799999999977</v>
      </c>
      <c r="H204" s="28">
        <v>19.401699999999959</v>
      </c>
      <c r="I204" s="28"/>
      <c r="J204" s="28">
        <v>20.815799999999964</v>
      </c>
      <c r="K204" s="28">
        <v>13.450499999999991</v>
      </c>
      <c r="L204" s="28">
        <v>14.395000000000003</v>
      </c>
      <c r="M204" s="28">
        <v>11.578799999999999</v>
      </c>
    </row>
    <row r="205" spans="1:24" x14ac:dyDescent="0.3">
      <c r="A205" s="104"/>
      <c r="C205" s="107"/>
      <c r="D205" s="17" t="s">
        <v>24</v>
      </c>
      <c r="E205" s="33">
        <v>11.43</v>
      </c>
      <c r="F205" s="33">
        <v>14.412249999999998</v>
      </c>
      <c r="G205" s="33">
        <v>15.997000000000025</v>
      </c>
      <c r="H205" s="33">
        <v>15.880249999999997</v>
      </c>
      <c r="I205" s="33">
        <v>16.6995</v>
      </c>
      <c r="J205" s="33">
        <v>16.085000000000029</v>
      </c>
      <c r="K205" s="33">
        <v>9.3377500000000087</v>
      </c>
      <c r="L205" s="33">
        <v>9.1920000000000037</v>
      </c>
      <c r="M205" s="33">
        <v>6.9650000000000025</v>
      </c>
    </row>
    <row r="206" spans="1:24" s="25" customFormat="1" ht="18" customHeight="1" x14ac:dyDescent="0.3">
      <c r="A206" s="104"/>
      <c r="C206" s="107"/>
      <c r="D206" s="31" t="s">
        <v>26</v>
      </c>
      <c r="E206" s="28">
        <v>9.0999999999934751</v>
      </c>
      <c r="F206" s="28">
        <v>8.7484999999965449</v>
      </c>
      <c r="G206" s="28">
        <v>12.861499999984122</v>
      </c>
      <c r="H206" s="28">
        <v>12.061499999988326</v>
      </c>
      <c r="I206" s="28">
        <v>14.412999999980443</v>
      </c>
      <c r="J206" s="28">
        <v>12.804999999992742</v>
      </c>
      <c r="K206" s="28">
        <v>7.7164999999999591</v>
      </c>
      <c r="L206" s="28">
        <v>7.7389999999975494</v>
      </c>
      <c r="M206" s="28">
        <v>5.9849999999865391</v>
      </c>
      <c r="P206"/>
      <c r="Q206"/>
      <c r="R206"/>
      <c r="S206"/>
      <c r="T206"/>
      <c r="U206"/>
      <c r="V206"/>
      <c r="W206"/>
      <c r="X206"/>
    </row>
    <row r="207" spans="1:24" x14ac:dyDescent="0.3">
      <c r="A207" s="104"/>
      <c r="C207" s="107"/>
      <c r="D207" s="17" t="s">
        <v>27</v>
      </c>
      <c r="E207" s="33">
        <v>7.4690000000000003</v>
      </c>
      <c r="F207" s="33">
        <v>7.1850000000000005</v>
      </c>
      <c r="G207" s="33">
        <v>10.600249999999978</v>
      </c>
      <c r="H207" s="33">
        <v>9.3569999999999975</v>
      </c>
      <c r="I207" s="33">
        <v>8.4572500000000002</v>
      </c>
      <c r="J207" s="33">
        <v>10.204500000000035</v>
      </c>
      <c r="K207" s="33">
        <v>5.8774999999999986</v>
      </c>
      <c r="L207" s="33">
        <v>7.1949999999999967</v>
      </c>
      <c r="M207" s="33">
        <v>4.7759999999999971</v>
      </c>
    </row>
    <row r="208" spans="1:24" x14ac:dyDescent="0.3">
      <c r="A208" s="104"/>
      <c r="C208" s="107"/>
      <c r="D208" s="16" t="s">
        <v>28</v>
      </c>
      <c r="E208" s="34"/>
      <c r="F208" s="34"/>
      <c r="G208" s="34">
        <v>8.40139999999999</v>
      </c>
      <c r="H208" s="34">
        <v>7.1737000000000082</v>
      </c>
      <c r="I208" s="34"/>
      <c r="J208" s="34">
        <v>8.4084000000000234</v>
      </c>
      <c r="K208" s="34">
        <v>5.4656999999999991</v>
      </c>
      <c r="L208" s="34">
        <v>5.9060000000000015</v>
      </c>
      <c r="M208" s="34">
        <v>4.2134000000000018</v>
      </c>
    </row>
    <row r="209" spans="1:14" x14ac:dyDescent="0.3">
      <c r="A209" s="104"/>
      <c r="C209" s="59"/>
      <c r="D209" s="60"/>
      <c r="E209" s="59"/>
      <c r="F209" s="59"/>
      <c r="G209" s="59"/>
      <c r="H209" s="59"/>
      <c r="I209" s="59"/>
      <c r="J209" s="59"/>
      <c r="K209" s="59"/>
      <c r="L209" s="59"/>
      <c r="M209" s="59"/>
    </row>
    <row r="210" spans="1:14" x14ac:dyDescent="0.3">
      <c r="A210" s="104"/>
      <c r="C210" s="59"/>
      <c r="D210" s="60"/>
      <c r="E210" s="113" t="s">
        <v>63</v>
      </c>
      <c r="F210" s="113"/>
      <c r="G210" s="113"/>
      <c r="H210" s="113" t="s">
        <v>76</v>
      </c>
      <c r="I210" s="113"/>
      <c r="J210" s="113"/>
      <c r="K210" s="113" t="s">
        <v>64</v>
      </c>
      <c r="L210" s="113"/>
      <c r="M210" s="113"/>
    </row>
    <row r="211" spans="1:14" x14ac:dyDescent="0.3">
      <c r="A211" s="104"/>
      <c r="C211" s="59"/>
      <c r="D211" s="59"/>
      <c r="E211" s="2" t="s">
        <v>87</v>
      </c>
      <c r="F211" s="2" t="s">
        <v>88</v>
      </c>
      <c r="G211" s="2" t="s">
        <v>89</v>
      </c>
      <c r="H211" s="2" t="s">
        <v>87</v>
      </c>
      <c r="I211" s="2" t="s">
        <v>88</v>
      </c>
      <c r="J211" s="2" t="s">
        <v>89</v>
      </c>
      <c r="K211" s="2" t="s">
        <v>87</v>
      </c>
      <c r="L211" s="2" t="s">
        <v>88</v>
      </c>
      <c r="M211" s="2" t="s">
        <v>89</v>
      </c>
    </row>
    <row r="212" spans="1:14" x14ac:dyDescent="0.3">
      <c r="A212" s="104"/>
      <c r="C212" s="108" t="s">
        <v>40</v>
      </c>
      <c r="D212" s="5" t="s">
        <v>23</v>
      </c>
      <c r="E212" s="6"/>
      <c r="F212" s="6"/>
      <c r="G212" s="6">
        <v>317.66349999999994</v>
      </c>
      <c r="H212" s="6">
        <v>383.23340000000064</v>
      </c>
      <c r="I212" s="6"/>
      <c r="J212" s="6">
        <v>334.57420000000093</v>
      </c>
      <c r="K212" s="6">
        <v>350.94950000000011</v>
      </c>
      <c r="L212" s="6">
        <v>329.89620000000002</v>
      </c>
      <c r="M212" s="6">
        <v>269.64019999999988</v>
      </c>
    </row>
    <row r="213" spans="1:14" x14ac:dyDescent="0.3">
      <c r="A213" s="104"/>
      <c r="C213" s="108"/>
      <c r="D213" s="7" t="s">
        <v>24</v>
      </c>
      <c r="E213" s="8">
        <v>274.64999999999998</v>
      </c>
      <c r="F213" s="8">
        <v>264.28874999999999</v>
      </c>
      <c r="G213" s="8">
        <v>281.0802499999993</v>
      </c>
      <c r="H213" s="8">
        <v>304.03274999999951</v>
      </c>
      <c r="I213" s="8">
        <v>436.22624999999999</v>
      </c>
      <c r="J213" s="8">
        <v>283.01299999999952</v>
      </c>
      <c r="K213" s="8">
        <v>277.50200000000024</v>
      </c>
      <c r="L213" s="8">
        <v>272.52399999999994</v>
      </c>
      <c r="M213" s="8">
        <v>182.88700000000009</v>
      </c>
    </row>
    <row r="214" spans="1:14" x14ac:dyDescent="0.3">
      <c r="A214" s="104"/>
      <c r="C214" s="108"/>
      <c r="D214" s="5" t="s">
        <v>26</v>
      </c>
      <c r="E214" s="9">
        <v>251.63999999972782</v>
      </c>
      <c r="F214" s="9">
        <v>175.52999999998178</v>
      </c>
      <c r="G214" s="9">
        <v>227.92699999978865</v>
      </c>
      <c r="H214" s="9">
        <v>253.90199999988874</v>
      </c>
      <c r="I214" s="9">
        <v>257.62549999905792</v>
      </c>
      <c r="J214" s="9">
        <v>230.52699999978782</v>
      </c>
      <c r="K214" s="9">
        <v>211.0144999997683</v>
      </c>
      <c r="L214" s="9">
        <v>218.95899999993711</v>
      </c>
      <c r="M214" s="9">
        <v>138.598999999928</v>
      </c>
    </row>
    <row r="215" spans="1:14" x14ac:dyDescent="0.3">
      <c r="A215" s="104"/>
      <c r="C215" s="108"/>
      <c r="D215" s="7" t="s">
        <v>27</v>
      </c>
      <c r="E215" s="10">
        <v>183.59299999999999</v>
      </c>
      <c r="F215" s="10">
        <v>157.56074999999998</v>
      </c>
      <c r="G215" s="10">
        <v>177.61249999999961</v>
      </c>
      <c r="H215" s="10">
        <v>215.83699999999965</v>
      </c>
      <c r="I215" s="10">
        <v>182.78025</v>
      </c>
      <c r="J215" s="10">
        <v>197.49499999999969</v>
      </c>
      <c r="K215" s="10">
        <v>178.96674999999985</v>
      </c>
      <c r="L215" s="10">
        <v>195.32400000000004</v>
      </c>
      <c r="M215" s="10">
        <v>109.75</v>
      </c>
    </row>
    <row r="216" spans="1:14" ht="15" customHeight="1" x14ac:dyDescent="0.3">
      <c r="A216" s="104"/>
      <c r="C216" s="108"/>
      <c r="D216" s="5" t="s">
        <v>28</v>
      </c>
      <c r="E216" s="9"/>
      <c r="F216" s="9"/>
      <c r="G216" s="9">
        <v>154.30930000000041</v>
      </c>
      <c r="H216" s="9">
        <v>193.17540000000005</v>
      </c>
      <c r="I216" s="9"/>
      <c r="J216" s="9">
        <v>160.32040000000029</v>
      </c>
      <c r="K216" s="9">
        <v>148.7016999999999</v>
      </c>
      <c r="L216" s="9">
        <v>160.49839999999998</v>
      </c>
      <c r="M216" s="9">
        <v>98.549600000000012</v>
      </c>
      <c r="N216" s="19"/>
    </row>
    <row r="217" spans="1:14" x14ac:dyDescent="0.3">
      <c r="A217" s="104"/>
      <c r="C217" s="59"/>
      <c r="D217" s="60"/>
      <c r="E217" s="59"/>
      <c r="F217" s="59"/>
      <c r="G217" s="59"/>
      <c r="H217" s="59"/>
      <c r="I217" s="59"/>
      <c r="J217" s="59"/>
      <c r="K217" s="59"/>
      <c r="L217" s="59"/>
      <c r="M217" s="59"/>
    </row>
    <row r="218" spans="1:14" x14ac:dyDescent="0.3">
      <c r="A218" s="104"/>
      <c r="C218" s="59"/>
      <c r="D218" s="60"/>
      <c r="E218" s="59"/>
      <c r="F218" s="59"/>
      <c r="G218" s="59"/>
      <c r="H218" s="59"/>
      <c r="I218" s="59"/>
      <c r="J218" s="59"/>
      <c r="K218" s="59"/>
      <c r="L218" s="59"/>
      <c r="M218" s="59"/>
    </row>
    <row r="219" spans="1:14" ht="18" x14ac:dyDescent="0.35">
      <c r="A219" s="104"/>
      <c r="C219" s="81" t="str">
        <f>D14</f>
        <v>Papiers et emballages hors verre - Charges de traitement et schéma de collecte</v>
      </c>
      <c r="D219" s="81"/>
      <c r="E219" s="81"/>
      <c r="F219" s="81"/>
      <c r="G219" s="81"/>
      <c r="H219" s="81"/>
      <c r="I219" s="81"/>
      <c r="J219" s="81"/>
      <c r="K219" s="81"/>
      <c r="L219" s="81"/>
      <c r="M219" s="81"/>
    </row>
    <row r="220" spans="1:14" x14ac:dyDescent="0.3">
      <c r="A220" s="104"/>
      <c r="C220" s="106" t="s">
        <v>35</v>
      </c>
      <c r="D220" s="106"/>
      <c r="E220" s="59"/>
      <c r="F220" s="59"/>
      <c r="G220" s="59"/>
      <c r="H220" s="59"/>
      <c r="I220" s="59"/>
      <c r="J220" s="59"/>
      <c r="K220" s="59"/>
      <c r="L220" s="59"/>
      <c r="M220" s="59"/>
    </row>
    <row r="221" spans="1:14" ht="42.6" customHeight="1" x14ac:dyDescent="0.3">
      <c r="A221" s="104"/>
      <c r="C221" s="59"/>
      <c r="D221" s="126" t="s">
        <v>130</v>
      </c>
      <c r="E221" s="2" t="s">
        <v>87</v>
      </c>
      <c r="F221" s="2" t="s">
        <v>88</v>
      </c>
      <c r="G221" s="2" t="s">
        <v>89</v>
      </c>
      <c r="H221" s="59"/>
      <c r="I221" s="59"/>
      <c r="J221" s="59"/>
      <c r="K221" s="59"/>
      <c r="L221" s="59"/>
      <c r="M221" s="59"/>
    </row>
    <row r="222" spans="1:14" x14ac:dyDescent="0.3">
      <c r="A222" s="104"/>
      <c r="D222" s="3" t="s">
        <v>36</v>
      </c>
      <c r="E222" s="4">
        <v>135</v>
      </c>
      <c r="F222" s="4">
        <v>26</v>
      </c>
      <c r="G222" s="4">
        <v>300</v>
      </c>
      <c r="H222" s="59"/>
      <c r="I222" s="59"/>
      <c r="J222" s="59"/>
      <c r="K222" s="59"/>
      <c r="L222" s="59"/>
      <c r="M222" s="59"/>
    </row>
    <row r="223" spans="1:14" x14ac:dyDescent="0.3">
      <c r="A223" s="104"/>
      <c r="C223" s="59"/>
      <c r="D223" s="60"/>
      <c r="E223" s="59"/>
      <c r="F223" s="59"/>
      <c r="G223" s="59"/>
      <c r="H223" s="59"/>
      <c r="I223" s="59"/>
      <c r="J223" s="59"/>
      <c r="K223" s="59"/>
      <c r="L223" s="59"/>
      <c r="M223" s="59"/>
    </row>
    <row r="224" spans="1:14" x14ac:dyDescent="0.3">
      <c r="A224" s="104"/>
      <c r="C224" s="59"/>
      <c r="D224" s="59"/>
      <c r="E224" s="2" t="s">
        <v>87</v>
      </c>
      <c r="F224" s="2" t="s">
        <v>88</v>
      </c>
      <c r="G224" s="2" t="s">
        <v>89</v>
      </c>
      <c r="H224" s="59"/>
      <c r="I224" s="59"/>
      <c r="J224" s="59"/>
      <c r="K224" s="59"/>
      <c r="L224" s="59"/>
      <c r="M224" s="59"/>
    </row>
    <row r="225" spans="1:14" ht="15" customHeight="1" x14ac:dyDescent="0.3">
      <c r="A225" s="104"/>
      <c r="C225" s="107" t="s">
        <v>39</v>
      </c>
      <c r="D225" s="16" t="s">
        <v>23</v>
      </c>
      <c r="E225" s="28">
        <v>12.465999999999964</v>
      </c>
      <c r="F225" s="28">
        <v>13.950300000000007</v>
      </c>
      <c r="G225" s="28">
        <v>15.707000000000013</v>
      </c>
      <c r="H225" s="59"/>
      <c r="I225" s="59"/>
      <c r="J225" s="59"/>
      <c r="K225" s="59"/>
      <c r="L225" s="69"/>
      <c r="M225" s="59"/>
    </row>
    <row r="226" spans="1:14" x14ac:dyDescent="0.3">
      <c r="A226" s="104"/>
      <c r="C226" s="107"/>
      <c r="D226" s="17" t="s">
        <v>24</v>
      </c>
      <c r="E226" s="33">
        <v>10.324000000000005</v>
      </c>
      <c r="F226" s="33">
        <v>10.371</v>
      </c>
      <c r="G226" s="33">
        <v>13.46799999999994</v>
      </c>
      <c r="H226" s="59"/>
      <c r="I226" s="59"/>
      <c r="J226" s="59"/>
      <c r="K226" s="59"/>
      <c r="L226" s="69"/>
      <c r="M226" s="59"/>
    </row>
    <row r="227" spans="1:14" s="25" customFormat="1" ht="19.2" customHeight="1" x14ac:dyDescent="0.3">
      <c r="A227" s="104"/>
      <c r="C227" s="107"/>
      <c r="D227" s="31" t="s">
        <v>26</v>
      </c>
      <c r="E227" s="28">
        <v>7.9270000000000103</v>
      </c>
      <c r="F227" s="28">
        <v>7.5019999999830986</v>
      </c>
      <c r="G227" s="28">
        <v>11.369999999999926</v>
      </c>
      <c r="H227" s="64"/>
      <c r="I227" s="59"/>
      <c r="J227" s="59"/>
      <c r="K227" s="59"/>
      <c r="L227" s="64"/>
      <c r="M227" s="64"/>
    </row>
    <row r="228" spans="1:14" x14ac:dyDescent="0.3">
      <c r="A228" s="104"/>
      <c r="C228" s="107"/>
      <c r="D228" s="17" t="s">
        <v>27</v>
      </c>
      <c r="E228" s="33">
        <v>6.3909999999999894</v>
      </c>
      <c r="F228" s="33">
        <v>4.2235000000000005</v>
      </c>
      <c r="G228" s="33">
        <v>9.465749999999975</v>
      </c>
      <c r="H228" s="59"/>
      <c r="I228" s="59"/>
      <c r="J228" s="59"/>
      <c r="K228" s="59"/>
      <c r="L228" s="59"/>
      <c r="M228" s="59"/>
    </row>
    <row r="229" spans="1:14" x14ac:dyDescent="0.3">
      <c r="A229" s="104"/>
      <c r="C229" s="107"/>
      <c r="D229" s="16" t="s">
        <v>28</v>
      </c>
      <c r="E229" s="34">
        <v>4.7617999999999947</v>
      </c>
      <c r="F229" s="34">
        <v>3.960999999999999</v>
      </c>
      <c r="G229" s="34">
        <v>7.6777999999999729</v>
      </c>
      <c r="H229" s="59"/>
      <c r="I229" s="59"/>
      <c r="J229" s="59"/>
      <c r="K229" s="59"/>
      <c r="L229" s="59"/>
      <c r="M229" s="59"/>
    </row>
    <row r="230" spans="1:14" x14ac:dyDescent="0.3">
      <c r="A230" s="104"/>
      <c r="C230" s="59"/>
      <c r="D230" s="60"/>
      <c r="H230" s="59"/>
      <c r="I230" s="59"/>
      <c r="J230" s="59"/>
      <c r="K230" s="59"/>
      <c r="L230" s="59"/>
      <c r="M230" s="59"/>
    </row>
    <row r="231" spans="1:14" x14ac:dyDescent="0.3">
      <c r="A231" s="104"/>
      <c r="C231" s="59"/>
      <c r="D231" s="59"/>
      <c r="E231" s="2" t="s">
        <v>87</v>
      </c>
      <c r="F231" s="2" t="s">
        <v>88</v>
      </c>
      <c r="G231" s="2" t="s">
        <v>89</v>
      </c>
      <c r="H231" s="59"/>
      <c r="I231" s="59"/>
      <c r="J231" s="59"/>
      <c r="K231" s="59"/>
      <c r="L231" s="59"/>
      <c r="M231" s="59"/>
    </row>
    <row r="232" spans="1:14" x14ac:dyDescent="0.3">
      <c r="A232" s="104"/>
      <c r="C232" s="108" t="s">
        <v>40</v>
      </c>
      <c r="D232" s="5" t="s">
        <v>23</v>
      </c>
      <c r="E232" s="6">
        <v>252.70439999999954</v>
      </c>
      <c r="F232" s="6">
        <v>252.72000000000006</v>
      </c>
      <c r="G232" s="6">
        <v>284.05389999999926</v>
      </c>
      <c r="H232" s="59"/>
      <c r="I232" s="59"/>
      <c r="J232" s="59"/>
      <c r="K232" s="59"/>
      <c r="L232" s="59"/>
      <c r="M232" s="59"/>
    </row>
    <row r="233" spans="1:14" x14ac:dyDescent="0.3">
      <c r="A233" s="104"/>
      <c r="C233" s="108"/>
      <c r="D233" s="7" t="s">
        <v>24</v>
      </c>
      <c r="E233" s="8">
        <v>213.47300000000075</v>
      </c>
      <c r="F233" s="8">
        <v>208.61650000000006</v>
      </c>
      <c r="G233" s="8">
        <v>239.33800000000173</v>
      </c>
      <c r="H233" s="59"/>
      <c r="I233" s="59"/>
      <c r="J233" s="59"/>
      <c r="K233" s="59"/>
      <c r="L233" s="69"/>
      <c r="M233" s="59"/>
    </row>
    <row r="234" spans="1:14" x14ac:dyDescent="0.3">
      <c r="A234" s="104"/>
      <c r="C234" s="108"/>
      <c r="D234" s="5" t="s">
        <v>26</v>
      </c>
      <c r="E234" s="9">
        <v>177.43699999998691</v>
      </c>
      <c r="F234" s="9">
        <v>185.87049999996594</v>
      </c>
      <c r="G234" s="9">
        <v>204.79800000000094</v>
      </c>
      <c r="H234" s="59"/>
      <c r="I234" s="59"/>
      <c r="J234" s="59"/>
      <c r="K234" s="59"/>
      <c r="L234" s="69"/>
      <c r="M234" s="59"/>
    </row>
    <row r="235" spans="1:14" x14ac:dyDescent="0.3">
      <c r="A235" s="104"/>
      <c r="C235" s="108"/>
      <c r="D235" s="7" t="s">
        <v>27</v>
      </c>
      <c r="E235" s="10">
        <v>151.93200000000036</v>
      </c>
      <c r="F235" s="10">
        <v>136.55799999999999</v>
      </c>
      <c r="G235" s="10">
        <v>173.63399999999876</v>
      </c>
      <c r="H235" s="59"/>
      <c r="I235" s="59"/>
      <c r="J235" s="59"/>
      <c r="K235" s="59"/>
      <c r="L235" s="69"/>
      <c r="M235" s="59"/>
    </row>
    <row r="236" spans="1:14" ht="15" customHeight="1" x14ac:dyDescent="0.3">
      <c r="A236" s="104"/>
      <c r="C236" s="108"/>
      <c r="D236" s="5" t="s">
        <v>28</v>
      </c>
      <c r="E236" s="9">
        <v>130.04000000000045</v>
      </c>
      <c r="F236" s="9">
        <v>129.0625</v>
      </c>
      <c r="G236" s="9">
        <v>150.90899999999971</v>
      </c>
      <c r="H236" s="59"/>
      <c r="I236" s="59"/>
      <c r="J236" s="59"/>
      <c r="K236" s="59"/>
      <c r="L236" s="59"/>
      <c r="M236" s="59"/>
    </row>
    <row r="237" spans="1:14" x14ac:dyDescent="0.3">
      <c r="A237" s="104"/>
      <c r="C237" s="59"/>
      <c r="D237" s="60"/>
      <c r="E237" s="59"/>
      <c r="F237" s="59"/>
      <c r="G237" s="59"/>
      <c r="H237" s="59"/>
      <c r="I237" s="59"/>
      <c r="J237" s="59"/>
      <c r="K237" s="59"/>
      <c r="L237" s="59"/>
      <c r="M237" s="59"/>
    </row>
    <row r="238" spans="1:14" x14ac:dyDescent="0.3">
      <c r="A238" s="104"/>
      <c r="C238" s="59"/>
      <c r="D238" s="60"/>
      <c r="E238" s="59"/>
      <c r="F238" s="59"/>
      <c r="G238" s="59"/>
      <c r="H238" s="59"/>
      <c r="I238" s="59"/>
      <c r="J238" s="59"/>
      <c r="K238" s="59"/>
      <c r="L238" s="59"/>
      <c r="M238" s="59"/>
    </row>
    <row r="239" spans="1:14" ht="18" x14ac:dyDescent="0.35">
      <c r="C239" s="81" t="str">
        <f>D15</f>
        <v>Papiers et emballages hors verre - Quantités collectées par sous-flux et par mode de collecte</v>
      </c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</row>
    <row r="240" spans="1:14" x14ac:dyDescent="0.3">
      <c r="C240" s="106" t="s">
        <v>35</v>
      </c>
      <c r="D240" s="106"/>
      <c r="E240" s="59"/>
      <c r="F240" s="59"/>
      <c r="G240" s="59"/>
      <c r="H240" s="59"/>
      <c r="I240" s="59"/>
      <c r="J240" s="59"/>
      <c r="K240" s="59"/>
      <c r="L240" s="59"/>
      <c r="M240" s="59"/>
    </row>
    <row r="241" spans="1:14" x14ac:dyDescent="0.3">
      <c r="C241" s="66"/>
      <c r="D241" s="66"/>
      <c r="E241" s="113" t="s">
        <v>157</v>
      </c>
      <c r="F241" s="113"/>
      <c r="G241" s="113" t="s">
        <v>158</v>
      </c>
      <c r="H241" s="113"/>
      <c r="I241" s="113" t="s">
        <v>159</v>
      </c>
      <c r="J241" s="113"/>
      <c r="K241" s="113" t="s">
        <v>160</v>
      </c>
      <c r="L241" s="113"/>
      <c r="M241" s="113" t="s">
        <v>161</v>
      </c>
      <c r="N241" s="113"/>
    </row>
    <row r="242" spans="1:14" x14ac:dyDescent="0.3">
      <c r="C242" s="59"/>
      <c r="D242" s="80"/>
      <c r="E242" s="2" t="s">
        <v>101</v>
      </c>
      <c r="F242" s="2" t="s">
        <v>100</v>
      </c>
      <c r="G242" s="2" t="s">
        <v>101</v>
      </c>
      <c r="H242" s="2" t="s">
        <v>100</v>
      </c>
      <c r="I242" s="2" t="s">
        <v>101</v>
      </c>
      <c r="J242" s="2" t="s">
        <v>100</v>
      </c>
      <c r="K242" s="2" t="s">
        <v>101</v>
      </c>
      <c r="L242" s="2" t="s">
        <v>100</v>
      </c>
      <c r="M242" s="2" t="s">
        <v>101</v>
      </c>
      <c r="N242" s="2" t="s">
        <v>100</v>
      </c>
    </row>
    <row r="243" spans="1:14" x14ac:dyDescent="0.3">
      <c r="D243" s="3" t="s">
        <v>36</v>
      </c>
      <c r="E243" s="4">
        <v>154</v>
      </c>
      <c r="F243" s="4">
        <v>46</v>
      </c>
      <c r="G243" s="4">
        <v>48</v>
      </c>
      <c r="H243" s="4">
        <v>43</v>
      </c>
      <c r="I243" s="4">
        <v>0</v>
      </c>
      <c r="J243" s="4">
        <v>119</v>
      </c>
      <c r="K243" s="4">
        <v>17</v>
      </c>
      <c r="L243" s="4">
        <v>16</v>
      </c>
      <c r="M243" s="4">
        <v>7</v>
      </c>
      <c r="N243" s="4">
        <v>23</v>
      </c>
    </row>
    <row r="244" spans="1:14" x14ac:dyDescent="0.3">
      <c r="C244" s="59"/>
      <c r="D244" s="60"/>
      <c r="E244" s="59"/>
      <c r="F244" s="59"/>
      <c r="G244" s="59"/>
      <c r="H244" s="59"/>
      <c r="I244" s="59"/>
      <c r="J244" s="59"/>
      <c r="K244" s="59"/>
      <c r="L244" s="59"/>
      <c r="M244" s="59"/>
    </row>
    <row r="245" spans="1:14" x14ac:dyDescent="0.3">
      <c r="C245" s="59"/>
      <c r="D245" s="59"/>
      <c r="E245" s="113" t="s">
        <v>157</v>
      </c>
      <c r="F245" s="113"/>
      <c r="G245" s="113" t="s">
        <v>158</v>
      </c>
      <c r="H245" s="113"/>
      <c r="I245" s="113" t="s">
        <v>159</v>
      </c>
      <c r="J245" s="113"/>
      <c r="K245" s="113" t="s">
        <v>160</v>
      </c>
      <c r="L245" s="113"/>
      <c r="M245" s="113" t="s">
        <v>161</v>
      </c>
      <c r="N245" s="113"/>
    </row>
    <row r="246" spans="1:14" x14ac:dyDescent="0.3">
      <c r="C246" s="59"/>
      <c r="D246" s="59"/>
      <c r="E246" s="2" t="s">
        <v>101</v>
      </c>
      <c r="F246" s="2" t="s">
        <v>100</v>
      </c>
      <c r="G246" s="2" t="s">
        <v>101</v>
      </c>
      <c r="H246" s="2" t="s">
        <v>100</v>
      </c>
      <c r="I246" s="2" t="s">
        <v>101</v>
      </c>
      <c r="J246" s="2" t="s">
        <v>100</v>
      </c>
      <c r="K246" s="2" t="s">
        <v>101</v>
      </c>
      <c r="L246" s="2" t="s">
        <v>100</v>
      </c>
      <c r="M246" s="2" t="s">
        <v>101</v>
      </c>
      <c r="N246" s="2" t="s">
        <v>100</v>
      </c>
    </row>
    <row r="247" spans="1:14" ht="15" customHeight="1" x14ac:dyDescent="0.3">
      <c r="C247" s="114" t="s">
        <v>114</v>
      </c>
      <c r="D247" s="46" t="s">
        <v>23</v>
      </c>
      <c r="E247" s="48">
        <v>72</v>
      </c>
      <c r="F247" s="48">
        <v>76.300000000000068</v>
      </c>
      <c r="G247" s="48">
        <v>51.099999999999959</v>
      </c>
      <c r="H247" s="48">
        <v>51.20000000000001</v>
      </c>
      <c r="I247" s="48"/>
      <c r="J247" s="48">
        <v>17</v>
      </c>
      <c r="K247" s="48">
        <v>45.2</v>
      </c>
      <c r="L247" s="48">
        <v>46.000000000000007</v>
      </c>
      <c r="M247" s="48"/>
      <c r="N247" s="48">
        <v>35.600000000000016</v>
      </c>
    </row>
    <row r="248" spans="1:14" x14ac:dyDescent="0.3">
      <c r="C248" s="114"/>
      <c r="D248" s="47" t="s">
        <v>24</v>
      </c>
      <c r="E248" s="49">
        <v>68.25</v>
      </c>
      <c r="F248" s="49">
        <v>61.5</v>
      </c>
      <c r="G248" s="49">
        <v>45.75</v>
      </c>
      <c r="H248" s="49">
        <v>40</v>
      </c>
      <c r="I248" s="49"/>
      <c r="J248" s="49">
        <v>15</v>
      </c>
      <c r="K248" s="49">
        <v>35</v>
      </c>
      <c r="L248" s="49">
        <v>39</v>
      </c>
      <c r="M248" s="49">
        <v>30</v>
      </c>
      <c r="N248" s="49">
        <v>25</v>
      </c>
    </row>
    <row r="249" spans="1:14" s="25" customFormat="1" x14ac:dyDescent="0.3">
      <c r="A249"/>
      <c r="C249" s="114"/>
      <c r="D249" s="46" t="s">
        <v>26</v>
      </c>
      <c r="E249" s="50">
        <v>62</v>
      </c>
      <c r="F249" s="50">
        <v>48</v>
      </c>
      <c r="G249" s="50">
        <v>39.5</v>
      </c>
      <c r="H249" s="50">
        <v>24</v>
      </c>
      <c r="I249" s="50"/>
      <c r="J249" s="50">
        <v>14</v>
      </c>
      <c r="K249" s="50">
        <v>27</v>
      </c>
      <c r="L249" s="50">
        <v>22</v>
      </c>
      <c r="M249" s="50">
        <v>21</v>
      </c>
      <c r="N249" s="50">
        <v>21</v>
      </c>
    </row>
    <row r="250" spans="1:14" x14ac:dyDescent="0.3">
      <c r="C250" s="114"/>
      <c r="D250" s="47" t="s">
        <v>27</v>
      </c>
      <c r="E250" s="51">
        <v>55</v>
      </c>
      <c r="F250" s="51">
        <v>40.25</v>
      </c>
      <c r="G250" s="51">
        <v>33</v>
      </c>
      <c r="H250" s="51">
        <v>19</v>
      </c>
      <c r="I250" s="51"/>
      <c r="J250" s="51">
        <v>12</v>
      </c>
      <c r="K250" s="51">
        <v>22</v>
      </c>
      <c r="L250" s="51">
        <v>17</v>
      </c>
      <c r="M250" s="51">
        <v>17</v>
      </c>
      <c r="N250" s="51">
        <v>16</v>
      </c>
    </row>
    <row r="251" spans="1:14" x14ac:dyDescent="0.3">
      <c r="C251" s="114"/>
      <c r="D251" s="46" t="s">
        <v>28</v>
      </c>
      <c r="E251" s="50">
        <v>47.5</v>
      </c>
      <c r="F251" s="50">
        <v>31.799999999999976</v>
      </c>
      <c r="G251" s="50">
        <v>29</v>
      </c>
      <c r="H251" s="50">
        <v>15</v>
      </c>
      <c r="I251" s="50"/>
      <c r="J251" s="50">
        <v>10</v>
      </c>
      <c r="K251" s="50">
        <v>18</v>
      </c>
      <c r="L251" s="50">
        <v>12.300000000000002</v>
      </c>
      <c r="M251" s="50"/>
      <c r="N251" s="50">
        <v>13</v>
      </c>
    </row>
    <row r="252" spans="1:14" x14ac:dyDescent="0.3">
      <c r="C252" s="59"/>
      <c r="D252" s="60"/>
      <c r="H252" s="59"/>
      <c r="I252" s="59"/>
      <c r="J252" s="59"/>
      <c r="K252" s="59"/>
      <c r="L252" s="59"/>
      <c r="M252" s="59"/>
    </row>
    <row r="254" spans="1:14" ht="18" x14ac:dyDescent="0.35">
      <c r="A254" s="104"/>
      <c r="C254" s="81" t="str">
        <f>D16</f>
        <v>Papiers et emballages hors verre - Coût complet par sous-flux et mode de collecte</v>
      </c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</row>
    <row r="255" spans="1:14" x14ac:dyDescent="0.3">
      <c r="A255" s="104"/>
      <c r="C255" s="106" t="s">
        <v>35</v>
      </c>
      <c r="D255" s="106"/>
      <c r="E255" s="59"/>
      <c r="F255" s="59"/>
      <c r="G255" s="59"/>
      <c r="H255" s="59"/>
      <c r="I255" s="59"/>
      <c r="J255" s="59"/>
      <c r="K255" s="59"/>
      <c r="L255" s="59"/>
      <c r="M255" s="59"/>
    </row>
    <row r="256" spans="1:14" x14ac:dyDescent="0.3">
      <c r="A256" s="104"/>
      <c r="C256" s="59"/>
      <c r="D256" s="80"/>
      <c r="E256" s="113" t="s">
        <v>157</v>
      </c>
      <c r="F256" s="113"/>
      <c r="G256" s="113" t="s">
        <v>158</v>
      </c>
      <c r="H256" s="113"/>
      <c r="I256" s="113" t="s">
        <v>159</v>
      </c>
      <c r="J256" s="113"/>
      <c r="K256" s="113" t="s">
        <v>160</v>
      </c>
      <c r="L256" s="113"/>
      <c r="M256" s="113" t="s">
        <v>161</v>
      </c>
      <c r="N256" s="113"/>
    </row>
    <row r="257" spans="1:14" x14ac:dyDescent="0.3">
      <c r="A257" s="104"/>
      <c r="C257" s="59"/>
      <c r="D257" s="80"/>
      <c r="E257" s="2" t="s">
        <v>101</v>
      </c>
      <c r="F257" s="2" t="s">
        <v>100</v>
      </c>
      <c r="G257" s="2" t="s">
        <v>101</v>
      </c>
      <c r="H257" s="2" t="s">
        <v>100</v>
      </c>
      <c r="I257" s="2" t="s">
        <v>101</v>
      </c>
      <c r="J257" s="2" t="s">
        <v>100</v>
      </c>
      <c r="K257" s="2" t="s">
        <v>101</v>
      </c>
      <c r="L257" s="2" t="s">
        <v>100</v>
      </c>
      <c r="M257" s="2" t="s">
        <v>101</v>
      </c>
      <c r="N257" s="2" t="s">
        <v>100</v>
      </c>
    </row>
    <row r="258" spans="1:14" x14ac:dyDescent="0.3">
      <c r="A258" s="104"/>
      <c r="D258" s="3" t="s">
        <v>36</v>
      </c>
      <c r="E258" s="4">
        <v>154</v>
      </c>
      <c r="F258" s="4">
        <v>46</v>
      </c>
      <c r="G258" s="4">
        <v>48</v>
      </c>
      <c r="H258" s="4">
        <v>43</v>
      </c>
      <c r="I258" s="4">
        <v>0</v>
      </c>
      <c r="J258" s="4">
        <v>119</v>
      </c>
      <c r="K258" s="4">
        <v>17</v>
      </c>
      <c r="L258" s="4">
        <v>16</v>
      </c>
      <c r="M258" s="4">
        <v>7</v>
      </c>
      <c r="N258" s="4">
        <v>23</v>
      </c>
    </row>
    <row r="259" spans="1:14" x14ac:dyDescent="0.3">
      <c r="A259" s="104"/>
      <c r="C259" s="59"/>
      <c r="D259" s="60"/>
      <c r="E259" s="59"/>
      <c r="F259" s="59"/>
      <c r="G259" s="59"/>
      <c r="H259" s="59"/>
      <c r="I259" s="59"/>
      <c r="J259" s="59"/>
      <c r="K259" s="59"/>
      <c r="L259" s="59"/>
      <c r="M259" s="59"/>
    </row>
    <row r="260" spans="1:14" x14ac:dyDescent="0.3">
      <c r="A260" s="104"/>
      <c r="C260" s="59"/>
      <c r="D260" s="59"/>
      <c r="E260" s="113" t="s">
        <v>157</v>
      </c>
      <c r="F260" s="113"/>
      <c r="G260" s="113" t="s">
        <v>158</v>
      </c>
      <c r="H260" s="113"/>
      <c r="I260" s="113" t="s">
        <v>159</v>
      </c>
      <c r="J260" s="113"/>
      <c r="K260" s="113" t="s">
        <v>160</v>
      </c>
      <c r="L260" s="113"/>
      <c r="M260" s="113" t="s">
        <v>161</v>
      </c>
      <c r="N260" s="113"/>
    </row>
    <row r="261" spans="1:14" x14ac:dyDescent="0.3">
      <c r="A261" s="104"/>
      <c r="C261" s="59"/>
      <c r="D261" s="59"/>
      <c r="E261" s="2" t="s">
        <v>101</v>
      </c>
      <c r="F261" s="2" t="s">
        <v>100</v>
      </c>
      <c r="G261" s="2" t="s">
        <v>101</v>
      </c>
      <c r="H261" s="2" t="s">
        <v>100</v>
      </c>
      <c r="I261" s="2" t="s">
        <v>101</v>
      </c>
      <c r="J261" s="2" t="s">
        <v>100</v>
      </c>
      <c r="K261" s="2" t="s">
        <v>101</v>
      </c>
      <c r="L261" s="2" t="s">
        <v>100</v>
      </c>
      <c r="M261" s="2" t="s">
        <v>101</v>
      </c>
      <c r="N261" s="2" t="s">
        <v>100</v>
      </c>
    </row>
    <row r="262" spans="1:14" ht="15" customHeight="1" x14ac:dyDescent="0.3">
      <c r="A262" s="104"/>
      <c r="C262" s="107" t="s">
        <v>39</v>
      </c>
      <c r="D262" s="16" t="s">
        <v>23</v>
      </c>
      <c r="E262" s="28">
        <v>45.293099999999917</v>
      </c>
      <c r="F262" s="28">
        <v>38.311840000000025</v>
      </c>
      <c r="G262" s="28">
        <v>37.335129999999985</v>
      </c>
      <c r="H262" s="28">
        <v>32.781780000000019</v>
      </c>
      <c r="I262" s="28"/>
      <c r="J262" s="28">
        <v>3.5380000000000065</v>
      </c>
      <c r="K262" s="28">
        <v>38.849420000000002</v>
      </c>
      <c r="L262" s="28">
        <v>32.94483000000001</v>
      </c>
      <c r="M262" s="28"/>
      <c r="N262" s="28">
        <v>9.3023000000000007</v>
      </c>
    </row>
    <row r="263" spans="1:14" x14ac:dyDescent="0.3">
      <c r="A263" s="104"/>
      <c r="C263" s="107"/>
      <c r="D263" s="17" t="s">
        <v>24</v>
      </c>
      <c r="E263" s="33">
        <v>40.483675000000105</v>
      </c>
      <c r="F263" s="33">
        <v>31.135974999999991</v>
      </c>
      <c r="G263" s="33">
        <v>33.000950000000032</v>
      </c>
      <c r="H263" s="33">
        <v>25.569100000000013</v>
      </c>
      <c r="I263" s="33"/>
      <c r="J263" s="33">
        <v>3.0224000000000038</v>
      </c>
      <c r="K263" s="33">
        <v>33.920799999999993</v>
      </c>
      <c r="L263" s="33">
        <v>28.238</v>
      </c>
      <c r="M263" s="33">
        <v>13.110799999999999</v>
      </c>
      <c r="N263" s="33">
        <v>7.3454999999999968</v>
      </c>
    </row>
    <row r="264" spans="1:14" s="25" customFormat="1" x14ac:dyDescent="0.3">
      <c r="A264" s="104"/>
      <c r="C264" s="107"/>
      <c r="D264" s="31" t="s">
        <v>26</v>
      </c>
      <c r="E264" s="28">
        <v>35.689000000000036</v>
      </c>
      <c r="F264" s="28">
        <v>26.876050000000003</v>
      </c>
      <c r="G264" s="28">
        <v>30.229399999999959</v>
      </c>
      <c r="H264" s="28">
        <v>16.935899999999986</v>
      </c>
      <c r="I264" s="28"/>
      <c r="J264" s="28">
        <v>2.4152000000000022</v>
      </c>
      <c r="K264" s="28">
        <v>29.685200000000005</v>
      </c>
      <c r="L264" s="28">
        <v>16.35735</v>
      </c>
      <c r="M264" s="28">
        <v>10.216700000000001</v>
      </c>
      <c r="N264" s="28">
        <v>5.635500000000004</v>
      </c>
    </row>
    <row r="265" spans="1:14" x14ac:dyDescent="0.3">
      <c r="A265" s="104"/>
      <c r="C265" s="107"/>
      <c r="D265" s="17" t="s">
        <v>27</v>
      </c>
      <c r="E265" s="33">
        <v>29.229275000000026</v>
      </c>
      <c r="F265" s="33">
        <v>21.137275000000017</v>
      </c>
      <c r="G265" s="33">
        <v>24.717374999999972</v>
      </c>
      <c r="H265" s="33">
        <v>12.968499999999999</v>
      </c>
      <c r="I265" s="33"/>
      <c r="J265" s="33">
        <v>1.8563000000000027</v>
      </c>
      <c r="K265" s="33">
        <v>17.390700000000006</v>
      </c>
      <c r="L265" s="33">
        <v>14.74705</v>
      </c>
      <c r="M265" s="33">
        <v>3.7123999999999997</v>
      </c>
      <c r="N265" s="33">
        <v>4.2493999999999987</v>
      </c>
    </row>
    <row r="266" spans="1:14" x14ac:dyDescent="0.3">
      <c r="A266" s="104"/>
      <c r="C266" s="107"/>
      <c r="D266" s="16" t="s">
        <v>28</v>
      </c>
      <c r="E266" s="34">
        <v>26.725449999999938</v>
      </c>
      <c r="F266" s="34">
        <v>17.48401999999999</v>
      </c>
      <c r="G266" s="34">
        <v>20.376650000000016</v>
      </c>
      <c r="H266" s="34">
        <v>10.006259999999999</v>
      </c>
      <c r="I266" s="34"/>
      <c r="J266" s="34">
        <v>1.3332999999999995</v>
      </c>
      <c r="K266" s="34">
        <v>11.786699999999998</v>
      </c>
      <c r="L266" s="34">
        <v>9.5849200000000003</v>
      </c>
      <c r="M266" s="34"/>
      <c r="N266" s="34">
        <v>3.4855399999999999</v>
      </c>
    </row>
    <row r="267" spans="1:14" x14ac:dyDescent="0.3">
      <c r="A267" s="104"/>
      <c r="C267" s="59"/>
      <c r="D267" s="60"/>
      <c r="H267" s="59"/>
      <c r="I267" s="59"/>
      <c r="J267" s="59"/>
      <c r="K267" s="59"/>
      <c r="L267" s="59"/>
      <c r="M267" s="59"/>
    </row>
    <row r="268" spans="1:14" x14ac:dyDescent="0.3">
      <c r="A268" s="104"/>
      <c r="C268" s="59"/>
      <c r="D268" s="59"/>
      <c r="E268" s="113" t="s">
        <v>157</v>
      </c>
      <c r="F268" s="113"/>
      <c r="G268" s="113" t="s">
        <v>158</v>
      </c>
      <c r="H268" s="113"/>
      <c r="I268" s="113" t="s">
        <v>159</v>
      </c>
      <c r="J268" s="113"/>
      <c r="K268" s="113" t="s">
        <v>160</v>
      </c>
      <c r="L268" s="113"/>
      <c r="M268" s="113" t="s">
        <v>161</v>
      </c>
      <c r="N268" s="113"/>
    </row>
    <row r="269" spans="1:14" x14ac:dyDescent="0.3">
      <c r="A269" s="104"/>
      <c r="C269" s="59"/>
      <c r="D269" s="59"/>
      <c r="E269" s="2" t="s">
        <v>101</v>
      </c>
      <c r="F269" s="2" t="s">
        <v>100</v>
      </c>
      <c r="G269" s="2" t="s">
        <v>101</v>
      </c>
      <c r="H269" s="2" t="s">
        <v>100</v>
      </c>
      <c r="I269" s="2" t="s">
        <v>101</v>
      </c>
      <c r="J269" s="2" t="s">
        <v>100</v>
      </c>
      <c r="K269" s="2" t="s">
        <v>101</v>
      </c>
      <c r="L269" s="2" t="s">
        <v>100</v>
      </c>
      <c r="M269" s="2" t="s">
        <v>101</v>
      </c>
      <c r="N269" s="2" t="s">
        <v>100</v>
      </c>
    </row>
    <row r="270" spans="1:14" x14ac:dyDescent="0.3">
      <c r="A270" s="104"/>
      <c r="C270" s="108" t="s">
        <v>40</v>
      </c>
      <c r="D270" s="5" t="s">
        <v>23</v>
      </c>
      <c r="E270" s="6">
        <v>729.44269999999972</v>
      </c>
      <c r="F270" s="6">
        <v>736.66789000000051</v>
      </c>
      <c r="G270" s="6">
        <v>950.96798999999953</v>
      </c>
      <c r="H270" s="6">
        <v>871.90936000000022</v>
      </c>
      <c r="I270" s="6"/>
      <c r="J270" s="6">
        <v>272.90810000000039</v>
      </c>
      <c r="K270" s="6">
        <v>1272.0020000000002</v>
      </c>
      <c r="L270" s="6">
        <v>958.83236999999997</v>
      </c>
      <c r="M270" s="6"/>
      <c r="N270" s="6">
        <v>337.0982800000001</v>
      </c>
    </row>
    <row r="271" spans="1:14" x14ac:dyDescent="0.3">
      <c r="A271" s="104"/>
      <c r="C271" s="108"/>
      <c r="D271" s="7" t="s">
        <v>24</v>
      </c>
      <c r="E271" s="8">
        <v>663.42697499999861</v>
      </c>
      <c r="F271" s="8">
        <v>621.46585000000039</v>
      </c>
      <c r="G271" s="8">
        <v>824.23207500000001</v>
      </c>
      <c r="H271" s="8">
        <v>781.67770000000007</v>
      </c>
      <c r="I271" s="8"/>
      <c r="J271" s="8">
        <v>223.62419999999949</v>
      </c>
      <c r="K271" s="8">
        <v>1145.72515</v>
      </c>
      <c r="L271" s="8">
        <v>899.49885000000006</v>
      </c>
      <c r="M271" s="8">
        <v>489.07810000000006</v>
      </c>
      <c r="N271" s="8">
        <v>296.69430000000006</v>
      </c>
    </row>
    <row r="272" spans="1:14" x14ac:dyDescent="0.3">
      <c r="A272" s="104"/>
      <c r="C272" s="108"/>
      <c r="D272" s="5" t="s">
        <v>26</v>
      </c>
      <c r="E272" s="9">
        <v>578.33939999999836</v>
      </c>
      <c r="F272" s="9">
        <v>534.85135000000048</v>
      </c>
      <c r="G272" s="9">
        <v>732.32715000000053</v>
      </c>
      <c r="H272" s="9">
        <v>680.01520000000062</v>
      </c>
      <c r="I272" s="9"/>
      <c r="J272" s="9">
        <v>185.56469999999999</v>
      </c>
      <c r="K272" s="9">
        <v>877.78620000000035</v>
      </c>
      <c r="L272" s="9">
        <v>797.24869999999999</v>
      </c>
      <c r="M272" s="9">
        <v>402.92270000000002</v>
      </c>
      <c r="N272" s="9">
        <v>269.76180000000016</v>
      </c>
    </row>
    <row r="273" spans="1:14" x14ac:dyDescent="0.3">
      <c r="A273" s="104"/>
      <c r="C273" s="108"/>
      <c r="D273" s="7" t="s">
        <v>27</v>
      </c>
      <c r="E273" s="10">
        <v>494.9706749999994</v>
      </c>
      <c r="F273" s="10">
        <v>437.83779999999996</v>
      </c>
      <c r="G273" s="10">
        <v>658.03522499999974</v>
      </c>
      <c r="H273" s="10">
        <v>621.83450000000062</v>
      </c>
      <c r="I273" s="10"/>
      <c r="J273" s="10">
        <v>140.27069999999961</v>
      </c>
      <c r="K273" s="10">
        <v>721.68649999999991</v>
      </c>
      <c r="L273" s="10">
        <v>693.62572499999999</v>
      </c>
      <c r="M273" s="10">
        <v>312.18180000000001</v>
      </c>
      <c r="N273" s="10">
        <v>241.59090000000006</v>
      </c>
    </row>
    <row r="274" spans="1:14" ht="15" customHeight="1" x14ac:dyDescent="0.3">
      <c r="A274" s="104"/>
      <c r="C274" s="108"/>
      <c r="D274" s="5" t="s">
        <v>28</v>
      </c>
      <c r="E274" s="9">
        <v>449.10220000000044</v>
      </c>
      <c r="F274" s="9">
        <v>418.47362000000027</v>
      </c>
      <c r="G274" s="9">
        <v>591.73828000000037</v>
      </c>
      <c r="H274" s="9">
        <v>539.47876000000053</v>
      </c>
      <c r="I274" s="9"/>
      <c r="J274" s="9">
        <v>98.447000000000102</v>
      </c>
      <c r="K274" s="9">
        <v>601.15544000000023</v>
      </c>
      <c r="L274" s="9">
        <v>609.76886999999999</v>
      </c>
      <c r="M274" s="9"/>
      <c r="N274" s="9">
        <v>198.30342000000007</v>
      </c>
    </row>
    <row r="275" spans="1:14" x14ac:dyDescent="0.3">
      <c r="A275" s="104"/>
      <c r="C275" s="59"/>
      <c r="D275" s="60"/>
      <c r="E275" s="59"/>
      <c r="F275" s="59"/>
      <c r="G275" s="59"/>
      <c r="H275" s="59"/>
      <c r="I275" s="59"/>
      <c r="J275" s="59"/>
      <c r="K275" s="59"/>
      <c r="L275" s="59"/>
      <c r="M275" s="59"/>
    </row>
    <row r="276" spans="1:14" x14ac:dyDescent="0.3">
      <c r="A276" s="104"/>
      <c r="C276" s="59"/>
      <c r="D276" s="60"/>
      <c r="E276" s="59"/>
      <c r="F276" s="59"/>
      <c r="G276" s="59"/>
      <c r="H276" s="59"/>
      <c r="I276" s="59"/>
      <c r="J276" s="59"/>
      <c r="K276" s="59"/>
      <c r="L276" s="59"/>
      <c r="M276" s="59"/>
    </row>
    <row r="277" spans="1:14" ht="18" x14ac:dyDescent="0.35">
      <c r="A277" s="104"/>
      <c r="C277" s="81" t="str">
        <f>D17</f>
        <v>Papiers et emballages hors verre - Coût aidé HT par sous-flux et mode de collecte</v>
      </c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</row>
    <row r="278" spans="1:14" x14ac:dyDescent="0.3">
      <c r="A278" s="104"/>
      <c r="C278" s="106" t="s">
        <v>35</v>
      </c>
      <c r="D278" s="106"/>
      <c r="E278" s="59"/>
      <c r="F278" s="59"/>
      <c r="G278" s="59"/>
      <c r="H278" s="59"/>
      <c r="I278" s="59"/>
      <c r="J278" s="59"/>
      <c r="K278" s="59"/>
      <c r="L278" s="59"/>
      <c r="M278" s="59"/>
    </row>
    <row r="279" spans="1:14" x14ac:dyDescent="0.3">
      <c r="A279" s="104"/>
      <c r="C279" s="59"/>
      <c r="D279" s="80"/>
      <c r="E279" s="113" t="s">
        <v>157</v>
      </c>
      <c r="F279" s="113"/>
      <c r="G279" s="113" t="s">
        <v>158</v>
      </c>
      <c r="H279" s="113"/>
      <c r="I279" s="113" t="s">
        <v>159</v>
      </c>
      <c r="J279" s="113"/>
      <c r="K279" s="113" t="s">
        <v>160</v>
      </c>
      <c r="L279" s="113"/>
      <c r="M279" s="113" t="s">
        <v>161</v>
      </c>
      <c r="N279" s="113"/>
    </row>
    <row r="280" spans="1:14" x14ac:dyDescent="0.3">
      <c r="A280" s="104"/>
      <c r="C280" s="59"/>
      <c r="D280" s="80"/>
      <c r="E280" s="2" t="s">
        <v>101</v>
      </c>
      <c r="F280" s="2" t="s">
        <v>100</v>
      </c>
      <c r="G280" s="2" t="s">
        <v>101</v>
      </c>
      <c r="H280" s="2" t="s">
        <v>100</v>
      </c>
      <c r="I280" s="2" t="s">
        <v>101</v>
      </c>
      <c r="J280" s="2" t="s">
        <v>100</v>
      </c>
      <c r="K280" s="2" t="s">
        <v>101</v>
      </c>
      <c r="L280" s="2" t="s">
        <v>100</v>
      </c>
      <c r="M280" s="2" t="s">
        <v>101</v>
      </c>
      <c r="N280" s="2" t="s">
        <v>100</v>
      </c>
    </row>
    <row r="281" spans="1:14" x14ac:dyDescent="0.3">
      <c r="A281" s="104"/>
      <c r="D281" s="3" t="s">
        <v>36</v>
      </c>
      <c r="E281" s="4">
        <v>154</v>
      </c>
      <c r="F281" s="4">
        <v>46</v>
      </c>
      <c r="G281" s="4">
        <v>48</v>
      </c>
      <c r="H281" s="4">
        <v>43</v>
      </c>
      <c r="I281" s="4">
        <v>0</v>
      </c>
      <c r="J281" s="4">
        <v>119</v>
      </c>
      <c r="K281" s="4">
        <v>17</v>
      </c>
      <c r="L281" s="4">
        <v>16</v>
      </c>
      <c r="M281" s="4">
        <v>7</v>
      </c>
      <c r="N281" s="4">
        <v>23</v>
      </c>
    </row>
    <row r="282" spans="1:14" x14ac:dyDescent="0.3">
      <c r="A282" s="104"/>
      <c r="C282" s="59"/>
      <c r="D282" s="60"/>
      <c r="E282" s="59"/>
      <c r="F282" s="59"/>
      <c r="G282" s="59"/>
      <c r="H282" s="59"/>
      <c r="I282" s="59"/>
      <c r="J282" s="59"/>
      <c r="K282" s="59"/>
      <c r="L282" s="59"/>
      <c r="M282" s="59"/>
    </row>
    <row r="283" spans="1:14" x14ac:dyDescent="0.3">
      <c r="A283" s="104"/>
      <c r="C283" s="59"/>
      <c r="D283" s="59"/>
      <c r="E283" s="113" t="s">
        <v>157</v>
      </c>
      <c r="F283" s="113"/>
      <c r="G283" s="113" t="s">
        <v>158</v>
      </c>
      <c r="H283" s="113"/>
      <c r="I283" s="113" t="s">
        <v>159</v>
      </c>
      <c r="J283" s="113"/>
      <c r="K283" s="113" t="s">
        <v>160</v>
      </c>
      <c r="L283" s="113"/>
      <c r="M283" s="113" t="s">
        <v>161</v>
      </c>
      <c r="N283" s="113"/>
    </row>
    <row r="284" spans="1:14" x14ac:dyDescent="0.3">
      <c r="A284" s="104"/>
      <c r="C284" s="59"/>
      <c r="D284" s="59"/>
      <c r="E284" s="2" t="s">
        <v>101</v>
      </c>
      <c r="F284" s="2" t="s">
        <v>100</v>
      </c>
      <c r="G284" s="2" t="s">
        <v>101</v>
      </c>
      <c r="H284" s="2" t="s">
        <v>100</v>
      </c>
      <c r="I284" s="2" t="s">
        <v>101</v>
      </c>
      <c r="J284" s="2" t="s">
        <v>100</v>
      </c>
      <c r="K284" s="2" t="s">
        <v>101</v>
      </c>
      <c r="L284" s="2" t="s">
        <v>100</v>
      </c>
      <c r="M284" s="2" t="s">
        <v>101</v>
      </c>
      <c r="N284" s="2" t="s">
        <v>100</v>
      </c>
    </row>
    <row r="285" spans="1:14" ht="15" customHeight="1" x14ac:dyDescent="0.3">
      <c r="A285" s="104"/>
      <c r="C285" s="107" t="s">
        <v>39</v>
      </c>
      <c r="D285" s="16" t="s">
        <v>23</v>
      </c>
      <c r="E285" s="28">
        <v>26.584699999999913</v>
      </c>
      <c r="F285" s="28">
        <v>15.847340000000001</v>
      </c>
      <c r="G285" s="28">
        <v>19.713470000000022</v>
      </c>
      <c r="H285" s="28">
        <v>16.635760000000001</v>
      </c>
      <c r="I285" s="28"/>
      <c r="J285" s="28">
        <v>1.6063000000000025</v>
      </c>
      <c r="K285" s="28">
        <v>25.94583999999999</v>
      </c>
      <c r="L285" s="28">
        <v>14.566470000000008</v>
      </c>
      <c r="M285" s="28"/>
      <c r="N285" s="28">
        <v>3.2091400000000001</v>
      </c>
    </row>
    <row r="286" spans="1:14" x14ac:dyDescent="0.3">
      <c r="A286" s="104"/>
      <c r="C286" s="107"/>
      <c r="D286" s="17" t="s">
        <v>24</v>
      </c>
      <c r="E286" s="33">
        <v>22.60057499999996</v>
      </c>
      <c r="F286" s="33">
        <v>14.084725000000006</v>
      </c>
      <c r="G286" s="33">
        <v>16.716400000000011</v>
      </c>
      <c r="H286" s="33">
        <v>12.775199999999998</v>
      </c>
      <c r="I286" s="33"/>
      <c r="J286" s="33">
        <v>1.0994000000000019</v>
      </c>
      <c r="K286" s="33">
        <v>21.599800000000009</v>
      </c>
      <c r="L286" s="33">
        <v>9.6253000000000011</v>
      </c>
      <c r="M286" s="33">
        <v>9.2604999999999986</v>
      </c>
      <c r="N286" s="33">
        <v>2.5469000000000004</v>
      </c>
    </row>
    <row r="287" spans="1:14" s="25" customFormat="1" ht="19.2" customHeight="1" x14ac:dyDescent="0.3">
      <c r="A287" s="104"/>
      <c r="C287" s="107"/>
      <c r="D287" s="31" t="s">
        <v>26</v>
      </c>
      <c r="E287" s="28">
        <v>16.32025000000003</v>
      </c>
      <c r="F287" s="28">
        <v>9.534899999999995</v>
      </c>
      <c r="G287" s="28">
        <v>12.642600000000007</v>
      </c>
      <c r="H287" s="28">
        <v>7.4621999999999966</v>
      </c>
      <c r="I287" s="28"/>
      <c r="J287" s="28">
        <v>0.31180000000000041</v>
      </c>
      <c r="K287" s="28">
        <v>17.059999999999999</v>
      </c>
      <c r="L287" s="28">
        <v>6.7467500000000022</v>
      </c>
      <c r="M287" s="28">
        <v>3.5472000000000001</v>
      </c>
      <c r="N287" s="28">
        <v>1.3374999999999992</v>
      </c>
    </row>
    <row r="288" spans="1:14" x14ac:dyDescent="0.3">
      <c r="A288" s="104"/>
      <c r="C288" s="107"/>
      <c r="D288" s="17" t="s">
        <v>27</v>
      </c>
      <c r="E288" s="33">
        <v>10.850875000000022</v>
      </c>
      <c r="F288" s="33">
        <v>4.2108249999999998</v>
      </c>
      <c r="G288" s="33">
        <v>9.9952749999999941</v>
      </c>
      <c r="H288" s="33">
        <v>4.6316999999999968</v>
      </c>
      <c r="I288" s="33"/>
      <c r="J288" s="33">
        <v>-0.30859999999999921</v>
      </c>
      <c r="K288" s="33">
        <v>4.2347499999999991</v>
      </c>
      <c r="L288" s="33">
        <v>5.2869749999999991</v>
      </c>
      <c r="M288" s="33">
        <v>1.554</v>
      </c>
      <c r="N288" s="33">
        <v>0.40829999999999994</v>
      </c>
    </row>
    <row r="289" spans="1:14" x14ac:dyDescent="0.3">
      <c r="A289" s="104"/>
      <c r="C289" s="107"/>
      <c r="D289" s="16" t="s">
        <v>28</v>
      </c>
      <c r="E289" s="34">
        <v>8.0738499999999949</v>
      </c>
      <c r="F289" s="34">
        <v>1.5818399999999999</v>
      </c>
      <c r="G289" s="34">
        <v>6.0377400000000039</v>
      </c>
      <c r="H289" s="34">
        <v>1.8869600000000011</v>
      </c>
      <c r="I289" s="34"/>
      <c r="J289" s="34">
        <v>-0.94100000000000161</v>
      </c>
      <c r="K289" s="34">
        <v>-2.1152799999999994</v>
      </c>
      <c r="L289" s="34">
        <v>2.095120000000001</v>
      </c>
      <c r="M289" s="34"/>
      <c r="N289" s="34">
        <v>-1.2713399999999995</v>
      </c>
    </row>
    <row r="290" spans="1:14" x14ac:dyDescent="0.3">
      <c r="A290" s="104"/>
      <c r="C290" s="59"/>
      <c r="D290" s="60"/>
      <c r="H290" s="59"/>
      <c r="I290" s="59"/>
      <c r="J290" s="59"/>
      <c r="K290" s="59"/>
      <c r="L290" s="59"/>
      <c r="M290" s="59"/>
    </row>
    <row r="291" spans="1:14" x14ac:dyDescent="0.3">
      <c r="A291" s="104"/>
      <c r="C291" s="59"/>
      <c r="D291" s="59"/>
      <c r="E291" s="113" t="s">
        <v>157</v>
      </c>
      <c r="F291" s="113"/>
      <c r="G291" s="113" t="s">
        <v>158</v>
      </c>
      <c r="H291" s="113"/>
      <c r="I291" s="113" t="s">
        <v>159</v>
      </c>
      <c r="J291" s="113"/>
      <c r="K291" s="113" t="s">
        <v>160</v>
      </c>
      <c r="L291" s="113"/>
      <c r="M291" s="113" t="s">
        <v>161</v>
      </c>
      <c r="N291" s="113"/>
    </row>
    <row r="292" spans="1:14" x14ac:dyDescent="0.3">
      <c r="A292" s="104"/>
      <c r="C292" s="59"/>
      <c r="D292" s="59"/>
      <c r="E292" s="2" t="s">
        <v>101</v>
      </c>
      <c r="F292" s="2" t="s">
        <v>100</v>
      </c>
      <c r="G292" s="2" t="s">
        <v>101</v>
      </c>
      <c r="H292" s="2" t="s">
        <v>100</v>
      </c>
      <c r="I292" s="2" t="s">
        <v>101</v>
      </c>
      <c r="J292" s="2" t="s">
        <v>100</v>
      </c>
      <c r="K292" s="2" t="s">
        <v>101</v>
      </c>
      <c r="L292" s="2" t="s">
        <v>100</v>
      </c>
      <c r="M292" s="2" t="s">
        <v>101</v>
      </c>
      <c r="N292" s="2" t="s">
        <v>100</v>
      </c>
    </row>
    <row r="293" spans="1:14" x14ac:dyDescent="0.3">
      <c r="A293" s="104"/>
      <c r="C293" s="108" t="s">
        <v>40</v>
      </c>
      <c r="D293" s="5" t="s">
        <v>23</v>
      </c>
      <c r="E293" s="6">
        <v>435.79720000000071</v>
      </c>
      <c r="F293" s="6">
        <v>406.2922300000003</v>
      </c>
      <c r="G293" s="6">
        <v>548.01206000000059</v>
      </c>
      <c r="H293" s="6">
        <v>481.47014000000007</v>
      </c>
      <c r="I293" s="6"/>
      <c r="J293" s="6">
        <v>139.56069999999997</v>
      </c>
      <c r="K293" s="6">
        <v>931.44635999999991</v>
      </c>
      <c r="L293" s="6">
        <v>423.30245000000008</v>
      </c>
      <c r="M293" s="6"/>
      <c r="N293" s="6">
        <v>164.14483999999996</v>
      </c>
    </row>
    <row r="294" spans="1:14" x14ac:dyDescent="0.3">
      <c r="A294" s="104"/>
      <c r="C294" s="108"/>
      <c r="D294" s="7" t="s">
        <v>24</v>
      </c>
      <c r="E294" s="8">
        <v>370.40832499999874</v>
      </c>
      <c r="F294" s="8">
        <v>302.29715000000022</v>
      </c>
      <c r="G294" s="8">
        <v>447.19480000000004</v>
      </c>
      <c r="H294" s="8">
        <v>410.29329999999982</v>
      </c>
      <c r="I294" s="8"/>
      <c r="J294" s="8">
        <v>76.364099999999922</v>
      </c>
      <c r="K294" s="8">
        <v>679.96080000000006</v>
      </c>
      <c r="L294" s="8">
        <v>388.06677500000012</v>
      </c>
      <c r="M294" s="8">
        <v>240.40540000000004</v>
      </c>
      <c r="N294" s="8">
        <v>111.94459999999999</v>
      </c>
    </row>
    <row r="295" spans="1:14" x14ac:dyDescent="0.3">
      <c r="A295" s="104"/>
      <c r="C295" s="108"/>
      <c r="D295" s="5" t="s">
        <v>26</v>
      </c>
      <c r="E295" s="9">
        <v>267.1502499999994</v>
      </c>
      <c r="F295" s="9">
        <v>173.92485000000011</v>
      </c>
      <c r="G295" s="9">
        <v>314.57769999999988</v>
      </c>
      <c r="H295" s="9">
        <v>314.05080000000032</v>
      </c>
      <c r="I295" s="9"/>
      <c r="J295" s="9">
        <v>23.62710000000002</v>
      </c>
      <c r="K295" s="9">
        <v>398.56000000000012</v>
      </c>
      <c r="L295" s="9">
        <v>282.90769999999986</v>
      </c>
      <c r="M295" s="9">
        <v>176.31929999999997</v>
      </c>
      <c r="N295" s="9">
        <v>89.494300000000024</v>
      </c>
    </row>
    <row r="296" spans="1:14" x14ac:dyDescent="0.3">
      <c r="A296" s="104"/>
      <c r="C296" s="108"/>
      <c r="D296" s="7" t="s">
        <v>27</v>
      </c>
      <c r="E296" s="10">
        <v>183.5344250000006</v>
      </c>
      <c r="F296" s="10">
        <v>110.72217499999992</v>
      </c>
      <c r="G296" s="10">
        <v>243.30394999999967</v>
      </c>
      <c r="H296" s="10">
        <v>217.73339999999993</v>
      </c>
      <c r="I296" s="10"/>
      <c r="J296" s="10">
        <v>-22.682800000000032</v>
      </c>
      <c r="K296" s="10">
        <v>180.50619999999995</v>
      </c>
      <c r="L296" s="10">
        <v>216.36344999999994</v>
      </c>
      <c r="M296" s="10">
        <v>86.537299999999988</v>
      </c>
      <c r="N296" s="10">
        <v>18.537100000000006</v>
      </c>
    </row>
    <row r="297" spans="1:14" ht="15" customHeight="1" x14ac:dyDescent="0.3">
      <c r="A297" s="104"/>
      <c r="C297" s="108"/>
      <c r="D297" s="5" t="s">
        <v>28</v>
      </c>
      <c r="E297" s="9">
        <v>130.4084500000001</v>
      </c>
      <c r="F297" s="9">
        <v>29.888850000000026</v>
      </c>
      <c r="G297" s="9">
        <v>144.58820999999992</v>
      </c>
      <c r="H297" s="9">
        <v>88.134039999999942</v>
      </c>
      <c r="I297" s="9"/>
      <c r="J297" s="9">
        <v>-68.050299999999893</v>
      </c>
      <c r="K297" s="9">
        <v>-100.98821999999997</v>
      </c>
      <c r="L297" s="9">
        <v>111.70470999999999</v>
      </c>
      <c r="M297" s="9"/>
      <c r="N297" s="9">
        <v>-41.001740000000012</v>
      </c>
    </row>
    <row r="298" spans="1:14" x14ac:dyDescent="0.3">
      <c r="A298" s="104"/>
      <c r="C298" s="59"/>
      <c r="D298" s="60"/>
      <c r="E298" s="59"/>
      <c r="F298" s="59"/>
      <c r="G298" s="59"/>
      <c r="H298" s="59"/>
      <c r="I298" s="59"/>
      <c r="J298" s="59"/>
      <c r="K298" s="59"/>
      <c r="L298" s="59"/>
      <c r="M298" s="59"/>
    </row>
    <row r="299" spans="1:14" x14ac:dyDescent="0.3">
      <c r="A299" s="104"/>
      <c r="C299" s="59"/>
      <c r="D299" s="60"/>
      <c r="E299" s="59"/>
      <c r="F299" s="59"/>
      <c r="G299" s="59"/>
      <c r="H299" s="59"/>
      <c r="I299" s="59"/>
      <c r="J299" s="59"/>
      <c r="K299" s="59"/>
      <c r="L299" s="59"/>
      <c r="M299" s="59"/>
    </row>
    <row r="300" spans="1:14" ht="18" x14ac:dyDescent="0.35">
      <c r="C300" s="81" t="str">
        <f>D18</f>
        <v>Papiers et emballages hors verre - Charges de pré-collecte et collecte par sous-flux et mode de collecte</v>
      </c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</row>
    <row r="301" spans="1:14" x14ac:dyDescent="0.3">
      <c r="C301" s="106" t="s">
        <v>35</v>
      </c>
      <c r="D301" s="106"/>
      <c r="E301" s="59"/>
      <c r="F301" s="59"/>
      <c r="G301" s="59"/>
      <c r="H301" s="59"/>
      <c r="I301" s="59"/>
      <c r="J301" s="59"/>
      <c r="K301" s="59"/>
      <c r="L301" s="59"/>
      <c r="M301" s="59"/>
    </row>
    <row r="302" spans="1:14" x14ac:dyDescent="0.3">
      <c r="C302" s="59"/>
      <c r="D302" s="80"/>
      <c r="E302" s="113" t="s">
        <v>157</v>
      </c>
      <c r="F302" s="113"/>
      <c r="G302" s="113" t="s">
        <v>158</v>
      </c>
      <c r="H302" s="113"/>
      <c r="I302" s="113" t="s">
        <v>159</v>
      </c>
      <c r="J302" s="113"/>
      <c r="K302" s="113" t="s">
        <v>160</v>
      </c>
      <c r="L302" s="113"/>
      <c r="M302" s="113" t="s">
        <v>161</v>
      </c>
      <c r="N302" s="113"/>
    </row>
    <row r="303" spans="1:14" x14ac:dyDescent="0.3">
      <c r="C303" s="59"/>
      <c r="D303" s="80"/>
      <c r="E303" s="2" t="s">
        <v>101</v>
      </c>
      <c r="F303" s="2" t="s">
        <v>100</v>
      </c>
      <c r="G303" s="2" t="s">
        <v>101</v>
      </c>
      <c r="H303" s="2" t="s">
        <v>100</v>
      </c>
      <c r="I303" s="2" t="s">
        <v>101</v>
      </c>
      <c r="J303" s="2" t="s">
        <v>100</v>
      </c>
      <c r="K303" s="2" t="s">
        <v>101</v>
      </c>
      <c r="L303" s="2" t="s">
        <v>100</v>
      </c>
      <c r="M303" s="2" t="s">
        <v>101</v>
      </c>
      <c r="N303" s="2" t="s">
        <v>100</v>
      </c>
    </row>
    <row r="304" spans="1:14" x14ac:dyDescent="0.3">
      <c r="D304" s="3" t="s">
        <v>36</v>
      </c>
      <c r="E304" s="4">
        <v>157</v>
      </c>
      <c r="F304" s="4">
        <v>42</v>
      </c>
      <c r="G304" s="4">
        <v>49</v>
      </c>
      <c r="H304" s="4">
        <v>31</v>
      </c>
      <c r="I304" s="4">
        <v>0</v>
      </c>
      <c r="J304" s="4">
        <v>121</v>
      </c>
      <c r="K304" s="4">
        <v>13</v>
      </c>
      <c r="L304" s="4">
        <v>11</v>
      </c>
      <c r="M304" s="4">
        <v>7</v>
      </c>
      <c r="N304" s="4">
        <v>19</v>
      </c>
    </row>
    <row r="305" spans="1:14" x14ac:dyDescent="0.3">
      <c r="C305" s="59"/>
      <c r="D305" s="60"/>
      <c r="E305" s="59"/>
      <c r="F305" s="59"/>
      <c r="G305" s="59"/>
      <c r="H305" s="59"/>
      <c r="I305" s="59"/>
      <c r="J305" s="59"/>
      <c r="K305" s="59"/>
      <c r="L305" s="59"/>
      <c r="M305" s="59"/>
    </row>
    <row r="306" spans="1:14" x14ac:dyDescent="0.3">
      <c r="C306" s="59"/>
      <c r="D306" s="59"/>
      <c r="E306" s="113" t="s">
        <v>157</v>
      </c>
      <c r="F306" s="113"/>
      <c r="G306" s="113" t="s">
        <v>158</v>
      </c>
      <c r="H306" s="113"/>
      <c r="I306" s="113" t="s">
        <v>159</v>
      </c>
      <c r="J306" s="113"/>
      <c r="K306" s="113" t="s">
        <v>160</v>
      </c>
      <c r="L306" s="113"/>
      <c r="M306" s="113" t="s">
        <v>161</v>
      </c>
      <c r="N306" s="113"/>
    </row>
    <row r="307" spans="1:14" x14ac:dyDescent="0.3">
      <c r="C307" s="59"/>
      <c r="D307" s="59"/>
      <c r="E307" s="2" t="s">
        <v>101</v>
      </c>
      <c r="F307" s="2" t="s">
        <v>100</v>
      </c>
      <c r="G307" s="2" t="s">
        <v>101</v>
      </c>
      <c r="H307" s="2" t="s">
        <v>100</v>
      </c>
      <c r="I307" s="2" t="s">
        <v>101</v>
      </c>
      <c r="J307" s="2" t="s">
        <v>100</v>
      </c>
      <c r="K307" s="2" t="s">
        <v>101</v>
      </c>
      <c r="L307" s="2" t="s">
        <v>100</v>
      </c>
      <c r="M307" s="2" t="s">
        <v>101</v>
      </c>
      <c r="N307" s="2" t="s">
        <v>100</v>
      </c>
    </row>
    <row r="308" spans="1:14" ht="15" customHeight="1" x14ac:dyDescent="0.3">
      <c r="C308" s="107" t="s">
        <v>39</v>
      </c>
      <c r="D308" s="16" t="s">
        <v>23</v>
      </c>
      <c r="E308" s="28">
        <v>22.196825999999977</v>
      </c>
      <c r="F308" s="28">
        <v>16.938893000000004</v>
      </c>
      <c r="G308" s="28">
        <v>19.668109999999984</v>
      </c>
      <c r="H308" s="28">
        <v>12.113802000000003</v>
      </c>
      <c r="I308" s="28"/>
      <c r="J308" s="28">
        <v>2.679592000000008</v>
      </c>
      <c r="K308" s="28">
        <v>25.786562</v>
      </c>
      <c r="L308" s="28">
        <v>13.004310000000002</v>
      </c>
      <c r="M308" s="28"/>
      <c r="N308" s="28">
        <v>5.5004</v>
      </c>
    </row>
    <row r="309" spans="1:14" x14ac:dyDescent="0.3">
      <c r="C309" s="107"/>
      <c r="D309" s="17" t="s">
        <v>24</v>
      </c>
      <c r="E309" s="33">
        <v>19.533014999999981</v>
      </c>
      <c r="F309" s="33">
        <v>15.294924999999999</v>
      </c>
      <c r="G309" s="33">
        <v>16.827085000000007</v>
      </c>
      <c r="H309" s="33">
        <v>9.9467700000000097</v>
      </c>
      <c r="I309" s="33"/>
      <c r="J309" s="33">
        <v>2.1887600000000016</v>
      </c>
      <c r="K309" s="33">
        <v>19.061004999999998</v>
      </c>
      <c r="L309" s="33">
        <v>9.0771699999999989</v>
      </c>
      <c r="M309" s="33">
        <v>6.9344799999999998</v>
      </c>
      <c r="N309" s="33">
        <v>4.6161100000000017</v>
      </c>
    </row>
    <row r="310" spans="1:14" s="25" customFormat="1" ht="19.2" customHeight="1" x14ac:dyDescent="0.3">
      <c r="A310"/>
      <c r="C310" s="107"/>
      <c r="D310" s="31" t="s">
        <v>26</v>
      </c>
      <c r="E310" s="28">
        <v>15.862560000000022</v>
      </c>
      <c r="F310" s="28">
        <v>11.658090000000005</v>
      </c>
      <c r="G310" s="28">
        <v>13.93589999999999</v>
      </c>
      <c r="H310" s="28">
        <v>7.7987799999999954</v>
      </c>
      <c r="I310" s="28"/>
      <c r="J310" s="28">
        <v>1.6404400000000035</v>
      </c>
      <c r="K310" s="28">
        <v>11.625789999999997</v>
      </c>
      <c r="L310" s="28">
        <v>7.2486600000000001</v>
      </c>
      <c r="M310" s="28">
        <v>5.9782300000000008</v>
      </c>
      <c r="N310" s="28">
        <v>3.3074900000000009</v>
      </c>
    </row>
    <row r="311" spans="1:14" x14ac:dyDescent="0.3">
      <c r="C311" s="107"/>
      <c r="D311" s="17" t="s">
        <v>27</v>
      </c>
      <c r="E311" s="33">
        <v>13.657314999999969</v>
      </c>
      <c r="F311" s="33">
        <v>8.8223825000000016</v>
      </c>
      <c r="G311" s="33">
        <v>11.478850000000005</v>
      </c>
      <c r="H311" s="33">
        <v>5.3241500000000022</v>
      </c>
      <c r="I311" s="33"/>
      <c r="J311" s="33">
        <v>1.1346949999999969</v>
      </c>
      <c r="K311" s="33">
        <v>7.1165649999999987</v>
      </c>
      <c r="L311" s="33">
        <v>6.5182300000000017</v>
      </c>
      <c r="M311" s="33">
        <v>3.3656800000000002</v>
      </c>
      <c r="N311" s="33">
        <v>2.5382799999999999</v>
      </c>
    </row>
    <row r="312" spans="1:14" x14ac:dyDescent="0.3">
      <c r="C312" s="107"/>
      <c r="D312" s="16" t="s">
        <v>28</v>
      </c>
      <c r="E312" s="34">
        <v>12.060105999999964</v>
      </c>
      <c r="F312" s="34">
        <v>6.9775629999999991</v>
      </c>
      <c r="G312" s="34">
        <v>9.3270699999999955</v>
      </c>
      <c r="H312" s="34">
        <v>3.8216319999999975</v>
      </c>
      <c r="I312" s="34"/>
      <c r="J312" s="34">
        <v>0.90276599999999985</v>
      </c>
      <c r="K312" s="34">
        <v>4.2231999999999994</v>
      </c>
      <c r="L312" s="34">
        <v>4.8783980000000016</v>
      </c>
      <c r="M312" s="34"/>
      <c r="N312" s="34">
        <v>2.327939999999999</v>
      </c>
    </row>
    <row r="313" spans="1:14" x14ac:dyDescent="0.3">
      <c r="C313" s="59"/>
      <c r="D313" s="60"/>
      <c r="H313" s="59"/>
      <c r="I313" s="59"/>
      <c r="J313" s="59"/>
      <c r="K313" s="59"/>
      <c r="L313" s="59"/>
      <c r="M313" s="59"/>
    </row>
    <row r="314" spans="1:14" x14ac:dyDescent="0.3">
      <c r="C314" s="59"/>
      <c r="D314" s="59"/>
      <c r="E314" s="113" t="s">
        <v>157</v>
      </c>
      <c r="F314" s="113"/>
      <c r="G314" s="113" t="s">
        <v>158</v>
      </c>
      <c r="H314" s="113"/>
      <c r="I314" s="113" t="s">
        <v>159</v>
      </c>
      <c r="J314" s="113"/>
      <c r="K314" s="113" t="s">
        <v>160</v>
      </c>
      <c r="L314" s="113"/>
      <c r="M314" s="113" t="s">
        <v>161</v>
      </c>
      <c r="N314" s="113"/>
    </row>
    <row r="315" spans="1:14" x14ac:dyDescent="0.3">
      <c r="C315" s="59"/>
      <c r="D315" s="59"/>
      <c r="E315" s="2" t="s">
        <v>101</v>
      </c>
      <c r="F315" s="2" t="s">
        <v>100</v>
      </c>
      <c r="G315" s="2" t="s">
        <v>101</v>
      </c>
      <c r="H315" s="2" t="s">
        <v>100</v>
      </c>
      <c r="I315" s="2" t="s">
        <v>101</v>
      </c>
      <c r="J315" s="2" t="s">
        <v>100</v>
      </c>
      <c r="K315" s="2" t="s">
        <v>101</v>
      </c>
      <c r="L315" s="2" t="s">
        <v>100</v>
      </c>
      <c r="M315" s="2" t="s">
        <v>101</v>
      </c>
      <c r="N315" s="2" t="s">
        <v>100</v>
      </c>
    </row>
    <row r="316" spans="1:14" x14ac:dyDescent="0.3">
      <c r="C316" s="108" t="s">
        <v>40</v>
      </c>
      <c r="D316" s="5" t="s">
        <v>23</v>
      </c>
      <c r="E316" s="6">
        <v>371.3852439999992</v>
      </c>
      <c r="F316" s="6">
        <v>357.14183199999979</v>
      </c>
      <c r="G316" s="6">
        <v>480.47263000000015</v>
      </c>
      <c r="H316" s="6">
        <v>444.46324199999987</v>
      </c>
      <c r="I316" s="6"/>
      <c r="J316" s="6">
        <v>204.76478800000032</v>
      </c>
      <c r="K316" s="6">
        <v>769.77796999999987</v>
      </c>
      <c r="L316" s="6">
        <v>563.70662400000015</v>
      </c>
      <c r="M316" s="6"/>
      <c r="N316" s="6">
        <v>209.59697999999989</v>
      </c>
    </row>
    <row r="317" spans="1:14" x14ac:dyDescent="0.3">
      <c r="C317" s="108"/>
      <c r="D317" s="7" t="s">
        <v>24</v>
      </c>
      <c r="E317" s="8">
        <v>318.58353999999969</v>
      </c>
      <c r="F317" s="8">
        <v>305.2514300000002</v>
      </c>
      <c r="G317" s="8">
        <v>410.0901599999998</v>
      </c>
      <c r="H317" s="8">
        <v>378.54081000000025</v>
      </c>
      <c r="I317" s="8"/>
      <c r="J317" s="8">
        <v>169.1878550000001</v>
      </c>
      <c r="K317" s="8">
        <v>703.58145499999978</v>
      </c>
      <c r="L317" s="8">
        <v>469.08279000000005</v>
      </c>
      <c r="M317" s="8">
        <v>331.95780999999994</v>
      </c>
      <c r="N317" s="8">
        <v>183.03323999999989</v>
      </c>
    </row>
    <row r="318" spans="1:14" x14ac:dyDescent="0.3">
      <c r="C318" s="108"/>
      <c r="D318" s="5" t="s">
        <v>26</v>
      </c>
      <c r="E318" s="9">
        <v>270.08017999999981</v>
      </c>
      <c r="F318" s="9">
        <v>237.47335000000015</v>
      </c>
      <c r="G318" s="9">
        <v>347.63726999999972</v>
      </c>
      <c r="H318" s="9">
        <v>290.02420999999981</v>
      </c>
      <c r="I318" s="9"/>
      <c r="J318" s="9">
        <v>119.55102000000028</v>
      </c>
      <c r="K318" s="9">
        <v>368.19916000000006</v>
      </c>
      <c r="L318" s="9">
        <v>358.01584999999994</v>
      </c>
      <c r="M318" s="9">
        <v>244.80940000000004</v>
      </c>
      <c r="N318" s="9">
        <v>165.90997999999996</v>
      </c>
    </row>
    <row r="319" spans="1:14" x14ac:dyDescent="0.3">
      <c r="C319" s="108"/>
      <c r="D319" s="7" t="s">
        <v>27</v>
      </c>
      <c r="E319" s="10">
        <v>222.52234500000031</v>
      </c>
      <c r="F319" s="10">
        <v>185.02822250000006</v>
      </c>
      <c r="G319" s="10">
        <v>311.26053499999983</v>
      </c>
      <c r="H319" s="10">
        <v>257.92036999999988</v>
      </c>
      <c r="I319" s="10"/>
      <c r="J319" s="10">
        <v>89.578235000000177</v>
      </c>
      <c r="K319" s="10">
        <v>304.92549999999994</v>
      </c>
      <c r="L319" s="10">
        <v>323.83239000000003</v>
      </c>
      <c r="M319" s="10">
        <v>172.17968999999997</v>
      </c>
      <c r="N319" s="10">
        <v>146.23953</v>
      </c>
    </row>
    <row r="320" spans="1:14" ht="15" customHeight="1" x14ac:dyDescent="0.3">
      <c r="C320" s="108"/>
      <c r="D320" s="5" t="s">
        <v>28</v>
      </c>
      <c r="E320" s="9">
        <v>192.32074600000044</v>
      </c>
      <c r="F320" s="9">
        <v>159.05126199999998</v>
      </c>
      <c r="G320" s="9">
        <v>245.42036999999985</v>
      </c>
      <c r="H320" s="9">
        <v>188.46685199999985</v>
      </c>
      <c r="I320" s="9"/>
      <c r="J320" s="9">
        <v>67.831798000000106</v>
      </c>
      <c r="K320" s="9">
        <v>257.10521199999999</v>
      </c>
      <c r="L320" s="9">
        <v>205.62992000000003</v>
      </c>
      <c r="M320" s="9"/>
      <c r="N320" s="9">
        <v>123.36364</v>
      </c>
    </row>
    <row r="323" spans="1:14" ht="18" x14ac:dyDescent="0.35">
      <c r="C323" s="81" t="str">
        <f>D19</f>
        <v>Papiers et emballages hors verre - Charges de pré-collecte par sous-flux et mode de collecte</v>
      </c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</row>
    <row r="324" spans="1:14" x14ac:dyDescent="0.3">
      <c r="C324" s="106" t="s">
        <v>35</v>
      </c>
      <c r="D324" s="106"/>
      <c r="E324" s="59"/>
      <c r="F324" s="59"/>
      <c r="G324" s="59"/>
      <c r="H324" s="59"/>
      <c r="I324" s="59"/>
      <c r="J324" s="59"/>
      <c r="K324" s="59"/>
      <c r="L324" s="59"/>
      <c r="M324" s="59"/>
    </row>
    <row r="325" spans="1:14" x14ac:dyDescent="0.3">
      <c r="C325" s="59"/>
      <c r="D325" s="80"/>
      <c r="E325" s="113" t="s">
        <v>157</v>
      </c>
      <c r="F325" s="113"/>
      <c r="G325" s="113" t="s">
        <v>158</v>
      </c>
      <c r="H325" s="113"/>
      <c r="I325" s="113" t="s">
        <v>159</v>
      </c>
      <c r="J325" s="113"/>
      <c r="K325" s="113" t="s">
        <v>160</v>
      </c>
      <c r="L325" s="113"/>
      <c r="M325" s="113" t="s">
        <v>161</v>
      </c>
      <c r="N325" s="113"/>
    </row>
    <row r="326" spans="1:14" x14ac:dyDescent="0.3">
      <c r="C326" s="59"/>
      <c r="D326" s="80"/>
      <c r="E326" s="2" t="s">
        <v>101</v>
      </c>
      <c r="F326" s="2" t="s">
        <v>100</v>
      </c>
      <c r="G326" s="2" t="s">
        <v>101</v>
      </c>
      <c r="H326" s="2" t="s">
        <v>100</v>
      </c>
      <c r="I326" s="2" t="s">
        <v>101</v>
      </c>
      <c r="J326" s="2" t="s">
        <v>100</v>
      </c>
      <c r="K326" s="2" t="s">
        <v>101</v>
      </c>
      <c r="L326" s="2" t="s">
        <v>100</v>
      </c>
      <c r="M326" s="2" t="s">
        <v>101</v>
      </c>
      <c r="N326" s="2" t="s">
        <v>100</v>
      </c>
    </row>
    <row r="327" spans="1:14" x14ac:dyDescent="0.3">
      <c r="D327" s="3" t="s">
        <v>36</v>
      </c>
      <c r="E327" s="4">
        <v>157</v>
      </c>
      <c r="F327" s="4">
        <v>42</v>
      </c>
      <c r="G327" s="4">
        <v>49</v>
      </c>
      <c r="H327" s="4">
        <v>31</v>
      </c>
      <c r="I327" s="4">
        <v>0</v>
      </c>
      <c r="J327" s="4">
        <v>121</v>
      </c>
      <c r="K327" s="4">
        <v>13</v>
      </c>
      <c r="L327" s="4">
        <v>11</v>
      </c>
      <c r="M327" s="4">
        <v>7</v>
      </c>
      <c r="N327" s="4">
        <v>19</v>
      </c>
    </row>
    <row r="328" spans="1:14" x14ac:dyDescent="0.3">
      <c r="C328" s="59"/>
      <c r="D328" s="60"/>
      <c r="E328" s="59"/>
      <c r="F328" s="59"/>
      <c r="G328" s="59"/>
      <c r="H328" s="59"/>
      <c r="I328" s="59"/>
      <c r="J328" s="59"/>
      <c r="K328" s="59"/>
      <c r="L328" s="59"/>
      <c r="M328" s="59"/>
    </row>
    <row r="329" spans="1:14" x14ac:dyDescent="0.3">
      <c r="C329" s="59"/>
      <c r="D329" s="59"/>
      <c r="E329" s="113" t="s">
        <v>157</v>
      </c>
      <c r="F329" s="113"/>
      <c r="G329" s="113" t="s">
        <v>158</v>
      </c>
      <c r="H329" s="113"/>
      <c r="I329" s="113" t="s">
        <v>159</v>
      </c>
      <c r="J329" s="113"/>
      <c r="K329" s="113" t="s">
        <v>160</v>
      </c>
      <c r="L329" s="113"/>
      <c r="M329" s="113" t="s">
        <v>161</v>
      </c>
      <c r="N329" s="113"/>
    </row>
    <row r="330" spans="1:14" x14ac:dyDescent="0.3">
      <c r="C330" s="59"/>
      <c r="D330" s="59"/>
      <c r="E330" s="2" t="s">
        <v>101</v>
      </c>
      <c r="F330" s="2" t="s">
        <v>100</v>
      </c>
      <c r="G330" s="2" t="s">
        <v>101</v>
      </c>
      <c r="H330" s="2" t="s">
        <v>100</v>
      </c>
      <c r="I330" s="2" t="s">
        <v>101</v>
      </c>
      <c r="J330" s="2" t="s">
        <v>100</v>
      </c>
      <c r="K330" s="2" t="s">
        <v>101</v>
      </c>
      <c r="L330" s="2" t="s">
        <v>100</v>
      </c>
      <c r="M330" s="2" t="s">
        <v>101</v>
      </c>
      <c r="N330" s="2" t="s">
        <v>100</v>
      </c>
    </row>
    <row r="331" spans="1:14" ht="15" customHeight="1" x14ac:dyDescent="0.3">
      <c r="C331" s="107" t="s">
        <v>39</v>
      </c>
      <c r="D331" s="16" t="s">
        <v>23</v>
      </c>
      <c r="E331" s="28">
        <v>2.9689060000000036</v>
      </c>
      <c r="F331" s="28">
        <v>5.0222280000000046</v>
      </c>
      <c r="G331" s="28">
        <v>2.7725999999999984</v>
      </c>
      <c r="H331" s="28">
        <v>3.4839139999999991</v>
      </c>
      <c r="I331" s="28"/>
      <c r="J331" s="28">
        <v>1.4899819999999981</v>
      </c>
      <c r="K331" s="28">
        <v>1.6463439999999994</v>
      </c>
      <c r="L331" s="28">
        <v>3.4262080000000021</v>
      </c>
      <c r="M331" s="28"/>
      <c r="N331" s="28">
        <v>2.1111099999999996</v>
      </c>
    </row>
    <row r="332" spans="1:14" x14ac:dyDescent="0.3">
      <c r="C332" s="107"/>
      <c r="D332" s="17" t="s">
        <v>24</v>
      </c>
      <c r="E332" s="33">
        <v>2.390094999999993</v>
      </c>
      <c r="F332" s="33">
        <v>3.394689999999998</v>
      </c>
      <c r="G332" s="33">
        <v>2.1290199999999984</v>
      </c>
      <c r="H332" s="33">
        <v>2.4694300000000013</v>
      </c>
      <c r="I332" s="33"/>
      <c r="J332" s="33">
        <v>1.060469999999998</v>
      </c>
      <c r="K332" s="33">
        <v>1.4146649999999996</v>
      </c>
      <c r="L332" s="33">
        <v>1.9783499999999998</v>
      </c>
      <c r="M332" s="33">
        <v>1.09748</v>
      </c>
      <c r="N332" s="33">
        <v>1.5823399999999994</v>
      </c>
    </row>
    <row r="333" spans="1:14" s="25" customFormat="1" ht="19.2" customHeight="1" x14ac:dyDescent="0.3">
      <c r="A333"/>
      <c r="C333" s="107"/>
      <c r="D333" s="31" t="s">
        <v>26</v>
      </c>
      <c r="E333" s="28">
        <v>1.5430000000000046</v>
      </c>
      <c r="F333" s="28">
        <v>2.3074950000000021</v>
      </c>
      <c r="G333" s="28">
        <v>1.690190000000001</v>
      </c>
      <c r="H333" s="28">
        <v>1.3948299999999996</v>
      </c>
      <c r="I333" s="28"/>
      <c r="J333" s="28">
        <v>0.5375500000000013</v>
      </c>
      <c r="K333" s="28">
        <v>1.0246099999999996</v>
      </c>
      <c r="L333" s="28">
        <v>1.54369</v>
      </c>
      <c r="M333" s="28">
        <v>0.62707999999999997</v>
      </c>
      <c r="N333" s="28">
        <v>1.0723699999999998</v>
      </c>
    </row>
    <row r="334" spans="1:14" x14ac:dyDescent="0.3">
      <c r="C334" s="107"/>
      <c r="D334" s="17" t="s">
        <v>27</v>
      </c>
      <c r="E334" s="33">
        <v>0.86358500000000027</v>
      </c>
      <c r="F334" s="33">
        <v>1.1945775000000007</v>
      </c>
      <c r="G334" s="33">
        <v>1.0728950000000006</v>
      </c>
      <c r="H334" s="33">
        <v>0.88271999999999939</v>
      </c>
      <c r="I334" s="33"/>
      <c r="J334" s="33">
        <v>0.22059499999999962</v>
      </c>
      <c r="K334" s="33">
        <v>0.54492499999999999</v>
      </c>
      <c r="L334" s="33">
        <v>1.1008899999999999</v>
      </c>
      <c r="M334" s="33">
        <v>0.22788000000000003</v>
      </c>
      <c r="N334" s="33">
        <v>0.54260000000000008</v>
      </c>
    </row>
    <row r="335" spans="1:14" x14ac:dyDescent="0.3">
      <c r="C335" s="107"/>
      <c r="D335" s="16" t="s">
        <v>28</v>
      </c>
      <c r="E335" s="34">
        <v>0.37924000000000108</v>
      </c>
      <c r="F335" s="34">
        <v>0.75279799999999941</v>
      </c>
      <c r="G335" s="34">
        <v>0.86710999999999938</v>
      </c>
      <c r="H335" s="34">
        <v>0.17544600000000002</v>
      </c>
      <c r="I335" s="34"/>
      <c r="J335" s="34">
        <v>7.3982000000000089E-2</v>
      </c>
      <c r="K335" s="34">
        <v>0.30228400000000011</v>
      </c>
      <c r="L335" s="34">
        <v>0.33772400000000008</v>
      </c>
      <c r="M335" s="34"/>
      <c r="N335" s="34">
        <v>0.42659999999999987</v>
      </c>
    </row>
    <row r="336" spans="1:14" x14ac:dyDescent="0.3">
      <c r="C336" s="59"/>
      <c r="D336" s="60"/>
      <c r="H336" s="59"/>
      <c r="I336" s="59"/>
      <c r="J336" s="59"/>
      <c r="K336" s="59"/>
      <c r="L336" s="59"/>
      <c r="M336" s="59"/>
    </row>
    <row r="337" spans="3:14" x14ac:dyDescent="0.3">
      <c r="C337" s="59"/>
      <c r="D337" s="59"/>
      <c r="E337" s="113" t="s">
        <v>157</v>
      </c>
      <c r="F337" s="113"/>
      <c r="G337" s="113" t="s">
        <v>158</v>
      </c>
      <c r="H337" s="113"/>
      <c r="I337" s="113" t="s">
        <v>159</v>
      </c>
      <c r="J337" s="113"/>
      <c r="K337" s="113" t="s">
        <v>160</v>
      </c>
      <c r="L337" s="113"/>
      <c r="M337" s="113" t="s">
        <v>161</v>
      </c>
      <c r="N337" s="113"/>
    </row>
    <row r="338" spans="3:14" x14ac:dyDescent="0.3">
      <c r="C338" s="59"/>
      <c r="D338" s="59"/>
      <c r="E338" s="2" t="s">
        <v>101</v>
      </c>
      <c r="F338" s="2" t="s">
        <v>100</v>
      </c>
      <c r="G338" s="2" t="s">
        <v>101</v>
      </c>
      <c r="H338" s="2" t="s">
        <v>100</v>
      </c>
      <c r="I338" s="2" t="s">
        <v>101</v>
      </c>
      <c r="J338" s="2" t="s">
        <v>100</v>
      </c>
      <c r="K338" s="2" t="s">
        <v>101</v>
      </c>
      <c r="L338" s="2" t="s">
        <v>100</v>
      </c>
      <c r="M338" s="2" t="s">
        <v>101</v>
      </c>
      <c r="N338" s="2" t="s">
        <v>100</v>
      </c>
    </row>
    <row r="339" spans="3:14" x14ac:dyDescent="0.3">
      <c r="C339" s="108" t="s">
        <v>40</v>
      </c>
      <c r="D339" s="5" t="s">
        <v>23</v>
      </c>
      <c r="E339" s="6">
        <v>49.319175999999977</v>
      </c>
      <c r="F339" s="6">
        <v>92.481407000000104</v>
      </c>
      <c r="G339" s="6">
        <v>66.445130000000049</v>
      </c>
      <c r="H339" s="6">
        <v>117.32620200000008</v>
      </c>
      <c r="I339" s="6"/>
      <c r="J339" s="6">
        <v>109.91272600000005</v>
      </c>
      <c r="K339" s="6">
        <v>65.900959999999969</v>
      </c>
      <c r="L339" s="6">
        <v>134.27064799999999</v>
      </c>
      <c r="M339" s="6"/>
      <c r="N339" s="6">
        <v>72.919709999999981</v>
      </c>
    </row>
    <row r="340" spans="3:14" x14ac:dyDescent="0.3">
      <c r="C340" s="108"/>
      <c r="D340" s="7" t="s">
        <v>24</v>
      </c>
      <c r="E340" s="8">
        <v>38.313764999999933</v>
      </c>
      <c r="F340" s="8">
        <v>66.204220000000035</v>
      </c>
      <c r="G340" s="8">
        <v>55.293404999999943</v>
      </c>
      <c r="H340" s="8">
        <v>95.769350000000017</v>
      </c>
      <c r="I340" s="8"/>
      <c r="J340" s="8">
        <v>79.657474999999991</v>
      </c>
      <c r="K340" s="8">
        <v>56.332135000000001</v>
      </c>
      <c r="L340" s="8">
        <v>107.63762999999996</v>
      </c>
      <c r="M340" s="8">
        <v>36.813310000000001</v>
      </c>
      <c r="N340" s="8">
        <v>69.877919999999989</v>
      </c>
    </row>
    <row r="341" spans="3:14" x14ac:dyDescent="0.3">
      <c r="C341" s="108"/>
      <c r="D341" s="5" t="s">
        <v>26</v>
      </c>
      <c r="E341" s="9">
        <v>26.273880000000077</v>
      </c>
      <c r="F341" s="9">
        <v>47.599744999999992</v>
      </c>
      <c r="G341" s="9">
        <v>39.898349999999986</v>
      </c>
      <c r="H341" s="9">
        <v>72.984860000000012</v>
      </c>
      <c r="I341" s="9"/>
      <c r="J341" s="9">
        <v>41.075509999999966</v>
      </c>
      <c r="K341" s="9">
        <v>49.737129999999986</v>
      </c>
      <c r="L341" s="9">
        <v>73.081410000000005</v>
      </c>
      <c r="M341" s="9">
        <v>23.409089999999996</v>
      </c>
      <c r="N341" s="9">
        <v>51.332900000000002</v>
      </c>
    </row>
    <row r="342" spans="3:14" x14ac:dyDescent="0.3">
      <c r="C342" s="108"/>
      <c r="D342" s="7" t="s">
        <v>27</v>
      </c>
      <c r="E342" s="10">
        <v>14.495200000000006</v>
      </c>
      <c r="F342" s="10">
        <v>28.765994999999982</v>
      </c>
      <c r="G342" s="10">
        <v>27.755820000000007</v>
      </c>
      <c r="H342" s="10">
        <v>40.857790000000016</v>
      </c>
      <c r="I342" s="10"/>
      <c r="J342" s="10">
        <v>15.364790000000026</v>
      </c>
      <c r="K342" s="10">
        <v>21.650449999999999</v>
      </c>
      <c r="L342" s="10">
        <v>50.415390000000002</v>
      </c>
      <c r="M342" s="10">
        <v>13.018020000000003</v>
      </c>
      <c r="N342" s="10">
        <v>31.70842</v>
      </c>
    </row>
    <row r="343" spans="3:14" ht="15" customHeight="1" x14ac:dyDescent="0.3">
      <c r="C343" s="108"/>
      <c r="D343" s="5" t="s">
        <v>28</v>
      </c>
      <c r="E343" s="9">
        <v>6.187092000000006</v>
      </c>
      <c r="F343" s="9">
        <v>17.005020999999985</v>
      </c>
      <c r="G343" s="9">
        <v>20.775859999999987</v>
      </c>
      <c r="H343" s="9">
        <v>10.063272000000001</v>
      </c>
      <c r="I343" s="9"/>
      <c r="J343" s="9">
        <v>5.2477440000000088</v>
      </c>
      <c r="K343" s="9">
        <v>9.165324</v>
      </c>
      <c r="L343" s="9">
        <v>17.816096000000005</v>
      </c>
      <c r="M343" s="9"/>
      <c r="N343" s="9">
        <v>22.704330000000009</v>
      </c>
    </row>
    <row r="346" spans="3:14" ht="18" x14ac:dyDescent="0.35">
      <c r="C346" s="81" t="str">
        <f>D20</f>
        <v>Papiers et emballages hors verre - Charges de collecte par sous-flux et mode de collecte</v>
      </c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</row>
    <row r="347" spans="3:14" x14ac:dyDescent="0.3">
      <c r="C347" s="106" t="s">
        <v>35</v>
      </c>
      <c r="D347" s="106"/>
      <c r="E347" s="59"/>
      <c r="F347" s="59"/>
      <c r="G347" s="59"/>
      <c r="H347" s="59"/>
      <c r="I347" s="59"/>
      <c r="J347" s="59"/>
      <c r="K347" s="59"/>
      <c r="L347" s="59"/>
      <c r="M347" s="59"/>
    </row>
    <row r="348" spans="3:14" x14ac:dyDescent="0.3">
      <c r="C348" s="59"/>
      <c r="D348" s="80"/>
      <c r="E348" s="113" t="s">
        <v>157</v>
      </c>
      <c r="F348" s="113"/>
      <c r="G348" s="113" t="s">
        <v>158</v>
      </c>
      <c r="H348" s="113"/>
      <c r="I348" s="113" t="s">
        <v>159</v>
      </c>
      <c r="J348" s="113"/>
      <c r="K348" s="113" t="s">
        <v>160</v>
      </c>
      <c r="L348" s="113"/>
      <c r="M348" s="113" t="s">
        <v>161</v>
      </c>
      <c r="N348" s="113"/>
    </row>
    <row r="349" spans="3:14" x14ac:dyDescent="0.3">
      <c r="C349" s="59"/>
      <c r="D349" s="80"/>
      <c r="E349" s="2" t="s">
        <v>101</v>
      </c>
      <c r="F349" s="2" t="s">
        <v>100</v>
      </c>
      <c r="G349" s="2" t="s">
        <v>101</v>
      </c>
      <c r="H349" s="2" t="s">
        <v>100</v>
      </c>
      <c r="I349" s="2" t="s">
        <v>101</v>
      </c>
      <c r="J349" s="2" t="s">
        <v>100</v>
      </c>
      <c r="K349" s="2" t="s">
        <v>101</v>
      </c>
      <c r="L349" s="2" t="s">
        <v>100</v>
      </c>
      <c r="M349" s="2" t="s">
        <v>101</v>
      </c>
      <c r="N349" s="2" t="s">
        <v>100</v>
      </c>
    </row>
    <row r="350" spans="3:14" x14ac:dyDescent="0.3">
      <c r="D350" s="3" t="s">
        <v>36</v>
      </c>
      <c r="E350" s="4">
        <v>157</v>
      </c>
      <c r="F350" s="4">
        <v>42</v>
      </c>
      <c r="G350" s="4">
        <v>49</v>
      </c>
      <c r="H350" s="4">
        <v>31</v>
      </c>
      <c r="I350" s="4">
        <v>0</v>
      </c>
      <c r="J350" s="4">
        <v>121</v>
      </c>
      <c r="K350" s="4">
        <v>13</v>
      </c>
      <c r="L350" s="4">
        <v>11</v>
      </c>
      <c r="M350" s="4">
        <v>7</v>
      </c>
      <c r="N350" s="4">
        <v>19</v>
      </c>
    </row>
    <row r="351" spans="3:14" x14ac:dyDescent="0.3">
      <c r="C351" s="59"/>
      <c r="D351" s="60"/>
      <c r="E351" s="59"/>
      <c r="F351" s="59"/>
      <c r="G351" s="59"/>
      <c r="H351" s="59"/>
      <c r="I351" s="59"/>
      <c r="J351" s="59"/>
      <c r="K351" s="59"/>
      <c r="L351" s="59"/>
      <c r="M351" s="59"/>
    </row>
    <row r="352" spans="3:14" x14ac:dyDescent="0.3">
      <c r="C352" s="59"/>
      <c r="D352" s="59"/>
      <c r="E352" s="113" t="s">
        <v>157</v>
      </c>
      <c r="F352" s="113"/>
      <c r="G352" s="113" t="s">
        <v>158</v>
      </c>
      <c r="H352" s="113"/>
      <c r="I352" s="113" t="s">
        <v>159</v>
      </c>
      <c r="J352" s="113"/>
      <c r="K352" s="113" t="s">
        <v>160</v>
      </c>
      <c r="L352" s="113"/>
      <c r="M352" s="113" t="s">
        <v>161</v>
      </c>
      <c r="N352" s="113"/>
    </row>
    <row r="353" spans="1:14" x14ac:dyDescent="0.3">
      <c r="C353" s="59"/>
      <c r="D353" s="59"/>
      <c r="E353" s="2" t="s">
        <v>101</v>
      </c>
      <c r="F353" s="2" t="s">
        <v>100</v>
      </c>
      <c r="G353" s="2" t="s">
        <v>101</v>
      </c>
      <c r="H353" s="2" t="s">
        <v>100</v>
      </c>
      <c r="I353" s="2" t="s">
        <v>101</v>
      </c>
      <c r="J353" s="2" t="s">
        <v>100</v>
      </c>
      <c r="K353" s="2" t="s">
        <v>101</v>
      </c>
      <c r="L353" s="2" t="s">
        <v>100</v>
      </c>
      <c r="M353" s="2" t="s">
        <v>101</v>
      </c>
      <c r="N353" s="2" t="s">
        <v>100</v>
      </c>
    </row>
    <row r="354" spans="1:14" ht="15" customHeight="1" x14ac:dyDescent="0.3">
      <c r="C354" s="107" t="s">
        <v>39</v>
      </c>
      <c r="D354" s="16" t="s">
        <v>23</v>
      </c>
      <c r="E354" s="28">
        <v>20.611171999999932</v>
      </c>
      <c r="F354" s="28">
        <v>13.501444999999993</v>
      </c>
      <c r="G354" s="28">
        <v>17.977920000000015</v>
      </c>
      <c r="H354" s="28">
        <v>9.0765660000000068</v>
      </c>
      <c r="I354" s="28"/>
      <c r="J354" s="28">
        <v>1.7117320000000038</v>
      </c>
      <c r="K354" s="28">
        <v>24.586018000000003</v>
      </c>
      <c r="L354" s="28">
        <v>9.7313100000000023</v>
      </c>
      <c r="M354" s="28"/>
      <c r="N354" s="28">
        <v>3.9751199999999995</v>
      </c>
    </row>
    <row r="355" spans="1:14" x14ac:dyDescent="0.3">
      <c r="C355" s="107"/>
      <c r="D355" s="17" t="s">
        <v>24</v>
      </c>
      <c r="E355" s="33">
        <v>17.807315000000013</v>
      </c>
      <c r="F355" s="33">
        <v>12.080382499999995</v>
      </c>
      <c r="G355" s="33">
        <v>15.311304999999985</v>
      </c>
      <c r="H355" s="33">
        <v>7.844069999999995</v>
      </c>
      <c r="I355" s="33"/>
      <c r="J355" s="33">
        <v>1.3530849999999959</v>
      </c>
      <c r="K355" s="33">
        <v>17.943340000000003</v>
      </c>
      <c r="L355" s="33">
        <v>7.3103499999999997</v>
      </c>
      <c r="M355" s="33">
        <v>6.0975900000000012</v>
      </c>
      <c r="N355" s="33">
        <v>3.0337699999999987</v>
      </c>
    </row>
    <row r="356" spans="1:14" s="25" customFormat="1" ht="19.2" customHeight="1" x14ac:dyDescent="0.3">
      <c r="A356"/>
      <c r="C356" s="107"/>
      <c r="D356" s="31" t="s">
        <v>26</v>
      </c>
      <c r="E356" s="28">
        <v>14.324720000000029</v>
      </c>
      <c r="F356" s="28">
        <v>9.7173700000000025</v>
      </c>
      <c r="G356" s="28">
        <v>12.372130000000007</v>
      </c>
      <c r="H356" s="28">
        <v>6.1487099999999968</v>
      </c>
      <c r="I356" s="28"/>
      <c r="J356" s="28">
        <v>1.0488500000000014</v>
      </c>
      <c r="K356" s="28">
        <v>11.283089999999998</v>
      </c>
      <c r="L356" s="28">
        <v>5.8887500000000008</v>
      </c>
      <c r="M356" s="28">
        <v>4.8807499999999999</v>
      </c>
      <c r="N356" s="28">
        <v>2.2499800000000003</v>
      </c>
    </row>
    <row r="357" spans="1:14" x14ac:dyDescent="0.3">
      <c r="C357" s="107"/>
      <c r="D357" s="17" t="s">
        <v>27</v>
      </c>
      <c r="E357" s="33">
        <v>11.949029999999995</v>
      </c>
      <c r="F357" s="33">
        <v>6.8908974999999959</v>
      </c>
      <c r="G357" s="33">
        <v>9.7760349999999931</v>
      </c>
      <c r="H357" s="33">
        <v>4.2748100000000013</v>
      </c>
      <c r="I357" s="33"/>
      <c r="J357" s="33">
        <v>0.67050500000000035</v>
      </c>
      <c r="K357" s="33">
        <v>5.6694100000000001</v>
      </c>
      <c r="L357" s="33">
        <v>5.0611699999999988</v>
      </c>
      <c r="M357" s="33">
        <v>3.0872999999999995</v>
      </c>
      <c r="N357" s="33">
        <v>1.8725999999999992</v>
      </c>
    </row>
    <row r="358" spans="1:14" x14ac:dyDescent="0.3">
      <c r="C358" s="107"/>
      <c r="D358" s="16" t="s">
        <v>28</v>
      </c>
      <c r="E358" s="34">
        <v>10.100500000000009</v>
      </c>
      <c r="F358" s="34">
        <v>5.4435090000000041</v>
      </c>
      <c r="G358" s="34">
        <v>7.9477899999999986</v>
      </c>
      <c r="H358" s="34">
        <v>2.5997239999999993</v>
      </c>
      <c r="I358" s="34"/>
      <c r="J358" s="34">
        <v>0.53943000000000119</v>
      </c>
      <c r="K358" s="34">
        <v>3.5617200000000007</v>
      </c>
      <c r="L358" s="34">
        <v>3.416604</v>
      </c>
      <c r="M358" s="34"/>
      <c r="N358" s="34">
        <v>1.6672399999999998</v>
      </c>
    </row>
    <row r="359" spans="1:14" x14ac:dyDescent="0.3">
      <c r="C359" s="59"/>
      <c r="D359" s="60"/>
      <c r="H359" s="59"/>
      <c r="I359" s="59"/>
      <c r="J359" s="59"/>
      <c r="K359" s="59"/>
      <c r="L359" s="59"/>
      <c r="M359" s="59"/>
    </row>
    <row r="360" spans="1:14" x14ac:dyDescent="0.3">
      <c r="C360" s="59"/>
      <c r="D360" s="59"/>
      <c r="E360" s="113" t="s">
        <v>157</v>
      </c>
      <c r="F360" s="113"/>
      <c r="G360" s="113" t="s">
        <v>158</v>
      </c>
      <c r="H360" s="113"/>
      <c r="I360" s="113" t="s">
        <v>159</v>
      </c>
      <c r="J360" s="113"/>
      <c r="K360" s="113" t="s">
        <v>160</v>
      </c>
      <c r="L360" s="113"/>
      <c r="M360" s="113" t="s">
        <v>161</v>
      </c>
      <c r="N360" s="113"/>
    </row>
    <row r="361" spans="1:14" x14ac:dyDescent="0.3">
      <c r="C361" s="59"/>
      <c r="D361" s="59"/>
      <c r="E361" s="2" t="s">
        <v>101</v>
      </c>
      <c r="F361" s="2" t="s">
        <v>100</v>
      </c>
      <c r="G361" s="2" t="s">
        <v>101</v>
      </c>
      <c r="H361" s="2" t="s">
        <v>100</v>
      </c>
      <c r="I361" s="2" t="s">
        <v>101</v>
      </c>
      <c r="J361" s="2" t="s">
        <v>100</v>
      </c>
      <c r="K361" s="2" t="s">
        <v>101</v>
      </c>
      <c r="L361" s="2" t="s">
        <v>100</v>
      </c>
      <c r="M361" s="2" t="s">
        <v>101</v>
      </c>
      <c r="N361" s="2" t="s">
        <v>100</v>
      </c>
    </row>
    <row r="362" spans="1:14" x14ac:dyDescent="0.3">
      <c r="C362" s="108" t="s">
        <v>40</v>
      </c>
      <c r="D362" s="5" t="s">
        <v>23</v>
      </c>
      <c r="E362" s="6">
        <v>347.18718400000051</v>
      </c>
      <c r="F362" s="6">
        <v>288.89311199999986</v>
      </c>
      <c r="G362" s="6">
        <v>432.33352000000008</v>
      </c>
      <c r="H362" s="6">
        <v>370.80635400000011</v>
      </c>
      <c r="I362" s="6"/>
      <c r="J362" s="6">
        <v>140.00941400000008</v>
      </c>
      <c r="K362" s="6">
        <v>728.23617200000012</v>
      </c>
      <c r="L362" s="6">
        <v>435.42997999999994</v>
      </c>
      <c r="M362" s="6"/>
      <c r="N362" s="6">
        <v>147.44833999999997</v>
      </c>
    </row>
    <row r="363" spans="1:14" x14ac:dyDescent="0.3">
      <c r="C363" s="108"/>
      <c r="D363" s="7" t="s">
        <v>24</v>
      </c>
      <c r="E363" s="8">
        <v>292.29516000000086</v>
      </c>
      <c r="F363" s="8">
        <v>244.94324249999971</v>
      </c>
      <c r="G363" s="8">
        <v>365.84158000000019</v>
      </c>
      <c r="H363" s="8">
        <v>317.07054000000005</v>
      </c>
      <c r="I363" s="8"/>
      <c r="J363" s="8">
        <v>99.879815000000193</v>
      </c>
      <c r="K363" s="8">
        <v>668.92876499999988</v>
      </c>
      <c r="L363" s="8">
        <v>386.22996999999992</v>
      </c>
      <c r="M363" s="8">
        <v>279.57594999999998</v>
      </c>
      <c r="N363" s="8">
        <v>144.40000000000003</v>
      </c>
    </row>
    <row r="364" spans="1:14" x14ac:dyDescent="0.3">
      <c r="C364" s="108"/>
      <c r="D364" s="5" t="s">
        <v>26</v>
      </c>
      <c r="E364" s="9">
        <v>242.08120000000034</v>
      </c>
      <c r="F364" s="9">
        <v>172.7028849999999</v>
      </c>
      <c r="G364" s="9">
        <v>302.55217000000039</v>
      </c>
      <c r="H364" s="9">
        <v>223.27070000000001</v>
      </c>
      <c r="I364" s="9"/>
      <c r="J364" s="9">
        <v>75.544410000000212</v>
      </c>
      <c r="K364" s="9">
        <v>335.44236000000001</v>
      </c>
      <c r="L364" s="9">
        <v>297.58523000000008</v>
      </c>
      <c r="M364" s="9">
        <v>223.14227000000002</v>
      </c>
      <c r="N364" s="9">
        <v>116.87473</v>
      </c>
    </row>
    <row r="365" spans="1:14" x14ac:dyDescent="0.3">
      <c r="C365" s="108"/>
      <c r="D365" s="7" t="s">
        <v>27</v>
      </c>
      <c r="E365" s="10">
        <v>196.89891999999969</v>
      </c>
      <c r="F365" s="10">
        <v>147.74377749999991</v>
      </c>
      <c r="G365" s="10">
        <v>273.50675500000017</v>
      </c>
      <c r="H365" s="10">
        <v>170.47458000000003</v>
      </c>
      <c r="I365" s="10"/>
      <c r="J365" s="10">
        <v>52.20956500000009</v>
      </c>
      <c r="K365" s="10">
        <v>271.55007500000005</v>
      </c>
      <c r="L365" s="10">
        <v>236.83244999999991</v>
      </c>
      <c r="M365" s="10">
        <v>159.94580999999997</v>
      </c>
      <c r="N365" s="10">
        <v>87.414230000000032</v>
      </c>
    </row>
    <row r="366" spans="1:14" ht="15" customHeight="1" x14ac:dyDescent="0.3">
      <c r="C366" s="108"/>
      <c r="D366" s="5" t="s">
        <v>28</v>
      </c>
      <c r="E366" s="9">
        <v>166.05117199999972</v>
      </c>
      <c r="F366" s="9">
        <v>113.83448899999993</v>
      </c>
      <c r="G366" s="9">
        <v>204.61357999999998</v>
      </c>
      <c r="H366" s="9">
        <v>149.54553399999995</v>
      </c>
      <c r="I366" s="9"/>
      <c r="J366" s="9">
        <v>42.064537999999978</v>
      </c>
      <c r="K366" s="9">
        <v>209.97822600000003</v>
      </c>
      <c r="L366" s="9">
        <v>147.92224600000006</v>
      </c>
      <c r="M366" s="9"/>
      <c r="N366" s="9">
        <v>68.09090999999998</v>
      </c>
    </row>
    <row r="369" spans="3:14" ht="18" x14ac:dyDescent="0.35">
      <c r="C369" s="81" t="str">
        <f>D21</f>
        <v>Papiers et emballages hors verre - Charges de tri par sous-flux</v>
      </c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</row>
    <row r="370" spans="3:14" x14ac:dyDescent="0.3">
      <c r="C370" s="106" t="s">
        <v>35</v>
      </c>
      <c r="D370" s="106"/>
      <c r="E370" s="59"/>
      <c r="F370" s="59"/>
      <c r="G370" s="59"/>
      <c r="H370" s="59"/>
      <c r="I370" s="59"/>
      <c r="J370" s="59"/>
      <c r="K370" s="59"/>
      <c r="L370" s="59"/>
      <c r="M370" s="59"/>
    </row>
    <row r="371" spans="3:14" ht="28.8" x14ac:dyDescent="0.3">
      <c r="C371" s="59"/>
      <c r="D371" s="80"/>
      <c r="E371" s="2" t="s">
        <v>157</v>
      </c>
      <c r="F371" s="2" t="s">
        <v>158</v>
      </c>
      <c r="G371" s="2" t="s">
        <v>159</v>
      </c>
      <c r="H371" s="2" t="s">
        <v>160</v>
      </c>
      <c r="I371" s="2" t="s">
        <v>161</v>
      </c>
    </row>
    <row r="372" spans="3:14" x14ac:dyDescent="0.3">
      <c r="D372" s="3" t="s">
        <v>36</v>
      </c>
      <c r="E372" s="4">
        <v>478</v>
      </c>
      <c r="F372" s="4">
        <v>164</v>
      </c>
      <c r="G372" s="4">
        <v>63</v>
      </c>
      <c r="H372" s="4">
        <v>27</v>
      </c>
      <c r="I372" s="4">
        <v>22</v>
      </c>
    </row>
    <row r="373" spans="3:14" x14ac:dyDescent="0.3">
      <c r="C373" s="59"/>
      <c r="D373" s="60"/>
      <c r="E373" s="59"/>
      <c r="F373" s="59"/>
      <c r="G373" s="59"/>
      <c r="H373" s="59"/>
      <c r="I373" s="59"/>
    </row>
    <row r="374" spans="3:14" ht="28.8" x14ac:dyDescent="0.3">
      <c r="C374" s="59"/>
      <c r="D374" s="59"/>
      <c r="E374" s="2" t="s">
        <v>157</v>
      </c>
      <c r="F374" s="2" t="s">
        <v>158</v>
      </c>
      <c r="G374" s="2" t="s">
        <v>159</v>
      </c>
      <c r="H374" s="2" t="s">
        <v>160</v>
      </c>
      <c r="I374" s="2" t="s">
        <v>161</v>
      </c>
    </row>
    <row r="375" spans="3:14" x14ac:dyDescent="0.3">
      <c r="C375" s="108" t="s">
        <v>40</v>
      </c>
      <c r="D375" s="5" t="s">
        <v>23</v>
      </c>
      <c r="E375" s="6">
        <v>298.02906400000143</v>
      </c>
      <c r="F375" s="6">
        <v>319.1959350000011</v>
      </c>
      <c r="G375" s="6">
        <v>66.195122000000055</v>
      </c>
      <c r="H375" s="6">
        <v>355.12176400000016</v>
      </c>
      <c r="I375" s="6">
        <v>160.97873799999991</v>
      </c>
    </row>
    <row r="376" spans="3:14" x14ac:dyDescent="0.3">
      <c r="C376" s="108"/>
      <c r="D376" s="7" t="s">
        <v>24</v>
      </c>
      <c r="E376" s="8">
        <v>263.89518750000218</v>
      </c>
      <c r="F376" s="8">
        <v>279.83921749999962</v>
      </c>
      <c r="G376" s="8">
        <v>50.602780000000052</v>
      </c>
      <c r="H376" s="8">
        <v>311.56786000000005</v>
      </c>
      <c r="I376" s="8">
        <v>100.25909750000001</v>
      </c>
    </row>
    <row r="377" spans="3:14" x14ac:dyDescent="0.3">
      <c r="C377" s="108"/>
      <c r="D377" s="5" t="s">
        <v>26</v>
      </c>
      <c r="E377" s="9">
        <v>231.08659000000213</v>
      </c>
      <c r="F377" s="9">
        <v>248.25833499999933</v>
      </c>
      <c r="G377" s="9">
        <v>38.804399999999994</v>
      </c>
      <c r="H377" s="9">
        <v>302.40685999999999</v>
      </c>
      <c r="I377" s="9">
        <v>77.462389999999971</v>
      </c>
    </row>
    <row r="378" spans="3:14" x14ac:dyDescent="0.3">
      <c r="C378" s="108"/>
      <c r="D378" s="7" t="s">
        <v>27</v>
      </c>
      <c r="E378" s="10">
        <v>201.14624750000067</v>
      </c>
      <c r="F378" s="10">
        <v>228.52333250000061</v>
      </c>
      <c r="G378" s="10">
        <v>27.455830000000041</v>
      </c>
      <c r="H378" s="10">
        <v>281.30536000000006</v>
      </c>
      <c r="I378" s="10">
        <v>66.208492499999991</v>
      </c>
    </row>
    <row r="379" spans="3:14" ht="15" customHeight="1" x14ac:dyDescent="0.3">
      <c r="C379" s="108"/>
      <c r="D379" s="5" t="s">
        <v>28</v>
      </c>
      <c r="E379" s="9">
        <v>162.28848200000203</v>
      </c>
      <c r="F379" s="9">
        <v>211.36502499999938</v>
      </c>
      <c r="G379" s="9">
        <v>13.751570000000012</v>
      </c>
      <c r="H379" s="9">
        <v>260.9750279999999</v>
      </c>
      <c r="I379" s="9">
        <v>49.513023999999994</v>
      </c>
    </row>
  </sheetData>
  <sheetProtection sheet="1" formatCells="0" formatColumns="0" insertColumns="0" insertRows="0" insertHyperlinks="0" deleteColumns="0" deleteRows="0" sort="0" autoFilter="0" pivotTables="0"/>
  <mergeCells count="221">
    <mergeCell ref="C375:C379"/>
    <mergeCell ref="C370:D370"/>
    <mergeCell ref="C354:C358"/>
    <mergeCell ref="E360:F360"/>
    <mergeCell ref="G360:H360"/>
    <mergeCell ref="I360:J360"/>
    <mergeCell ref="K360:L360"/>
    <mergeCell ref="M360:N360"/>
    <mergeCell ref="C362:C366"/>
    <mergeCell ref="D21:K21"/>
    <mergeCell ref="C369:N369"/>
    <mergeCell ref="C346:N346"/>
    <mergeCell ref="C347:D347"/>
    <mergeCell ref="E348:F348"/>
    <mergeCell ref="G348:H348"/>
    <mergeCell ref="I348:J348"/>
    <mergeCell ref="K348:L348"/>
    <mergeCell ref="M348:N348"/>
    <mergeCell ref="E352:F352"/>
    <mergeCell ref="G352:H352"/>
    <mergeCell ref="I352:J352"/>
    <mergeCell ref="K352:L352"/>
    <mergeCell ref="M352:N352"/>
    <mergeCell ref="C331:C335"/>
    <mergeCell ref="E337:F337"/>
    <mergeCell ref="G337:H337"/>
    <mergeCell ref="I337:J337"/>
    <mergeCell ref="K337:L337"/>
    <mergeCell ref="M337:N337"/>
    <mergeCell ref="C339:C343"/>
    <mergeCell ref="C308:C312"/>
    <mergeCell ref="C316:C320"/>
    <mergeCell ref="K302:L302"/>
    <mergeCell ref="D19:K19"/>
    <mergeCell ref="D20:K20"/>
    <mergeCell ref="E325:F325"/>
    <mergeCell ref="G325:H325"/>
    <mergeCell ref="I325:J325"/>
    <mergeCell ref="K325:L325"/>
    <mergeCell ref="M325:N325"/>
    <mergeCell ref="E329:F329"/>
    <mergeCell ref="G329:H329"/>
    <mergeCell ref="I329:J329"/>
    <mergeCell ref="K329:L329"/>
    <mergeCell ref="M329:N329"/>
    <mergeCell ref="E314:F314"/>
    <mergeCell ref="G314:H314"/>
    <mergeCell ref="I314:J314"/>
    <mergeCell ref="K314:L314"/>
    <mergeCell ref="M314:N314"/>
    <mergeCell ref="C323:N323"/>
    <mergeCell ref="C324:D324"/>
    <mergeCell ref="C300:N300"/>
    <mergeCell ref="C301:D301"/>
    <mergeCell ref="E302:F302"/>
    <mergeCell ref="G302:H302"/>
    <mergeCell ref="I302:J302"/>
    <mergeCell ref="M302:N302"/>
    <mergeCell ref="E306:F306"/>
    <mergeCell ref="G306:H306"/>
    <mergeCell ref="I306:J306"/>
    <mergeCell ref="K306:L306"/>
    <mergeCell ref="M306:N306"/>
    <mergeCell ref="C166:C170"/>
    <mergeCell ref="C151:D151"/>
    <mergeCell ref="C158:C162"/>
    <mergeCell ref="D152:D153"/>
    <mergeCell ref="D6:K6"/>
    <mergeCell ref="D7:K7"/>
    <mergeCell ref="D8:K8"/>
    <mergeCell ref="D9:K9"/>
    <mergeCell ref="D10:K10"/>
    <mergeCell ref="D11:K11"/>
    <mergeCell ref="D12:K12"/>
    <mergeCell ref="D13:K13"/>
    <mergeCell ref="D14:K14"/>
    <mergeCell ref="A219:A238"/>
    <mergeCell ref="C225:C229"/>
    <mergeCell ref="C232:C236"/>
    <mergeCell ref="A196:A218"/>
    <mergeCell ref="C204:C208"/>
    <mergeCell ref="E202:G202"/>
    <mergeCell ref="E198:G198"/>
    <mergeCell ref="H198:J198"/>
    <mergeCell ref="K198:M198"/>
    <mergeCell ref="C196:M196"/>
    <mergeCell ref="C197:D197"/>
    <mergeCell ref="C220:D220"/>
    <mergeCell ref="C212:C216"/>
    <mergeCell ref="E210:G210"/>
    <mergeCell ref="H210:J210"/>
    <mergeCell ref="K210:M210"/>
    <mergeCell ref="A173:A195"/>
    <mergeCell ref="C181:C185"/>
    <mergeCell ref="C189:C193"/>
    <mergeCell ref="E187:G187"/>
    <mergeCell ref="H187:J187"/>
    <mergeCell ref="K187:M187"/>
    <mergeCell ref="H202:J202"/>
    <mergeCell ref="K202:M202"/>
    <mergeCell ref="H179:J179"/>
    <mergeCell ref="K179:M179"/>
    <mergeCell ref="E175:G175"/>
    <mergeCell ref="H175:J175"/>
    <mergeCell ref="K175:M175"/>
    <mergeCell ref="D175:D176"/>
    <mergeCell ref="D198:D199"/>
    <mergeCell ref="C173:M173"/>
    <mergeCell ref="C174:D174"/>
    <mergeCell ref="E179:G179"/>
    <mergeCell ref="A46:A65"/>
    <mergeCell ref="A66:A85"/>
    <mergeCell ref="A24:A45"/>
    <mergeCell ref="A106:A126"/>
    <mergeCell ref="C107:D107"/>
    <mergeCell ref="C66:M66"/>
    <mergeCell ref="C46:M46"/>
    <mergeCell ref="C24:M24"/>
    <mergeCell ref="K141:M141"/>
    <mergeCell ref="C135:C139"/>
    <mergeCell ref="E133:G133"/>
    <mergeCell ref="H133:J133"/>
    <mergeCell ref="K133:M133"/>
    <mergeCell ref="D129:D130"/>
    <mergeCell ref="C79:C83"/>
    <mergeCell ref="A86:A105"/>
    <mergeCell ref="C92:C96"/>
    <mergeCell ref="C99:C103"/>
    <mergeCell ref="C128:D128"/>
    <mergeCell ref="C25:D25"/>
    <mergeCell ref="C47:D47"/>
    <mergeCell ref="C67:D67"/>
    <mergeCell ref="C87:D87"/>
    <mergeCell ref="D2:K2"/>
    <mergeCell ref="D5:K5"/>
    <mergeCell ref="A127:A149"/>
    <mergeCell ref="C143:C147"/>
    <mergeCell ref="K152:M152"/>
    <mergeCell ref="C1:M1"/>
    <mergeCell ref="E152:G152"/>
    <mergeCell ref="H152:J152"/>
    <mergeCell ref="H141:J141"/>
    <mergeCell ref="C127:M127"/>
    <mergeCell ref="C150:M150"/>
    <mergeCell ref="C106:M106"/>
    <mergeCell ref="C86:M86"/>
    <mergeCell ref="E129:G129"/>
    <mergeCell ref="H129:J129"/>
    <mergeCell ref="K129:M129"/>
    <mergeCell ref="C72:C76"/>
    <mergeCell ref="C32:C36"/>
    <mergeCell ref="C39:C43"/>
    <mergeCell ref="C52:C56"/>
    <mergeCell ref="C59:C63"/>
    <mergeCell ref="C113:C117"/>
    <mergeCell ref="C120:C124"/>
    <mergeCell ref="E141:G141"/>
    <mergeCell ref="D15:K15"/>
    <mergeCell ref="C240:D240"/>
    <mergeCell ref="C247:C251"/>
    <mergeCell ref="E241:F241"/>
    <mergeCell ref="G241:H241"/>
    <mergeCell ref="I241:J241"/>
    <mergeCell ref="K241:L241"/>
    <mergeCell ref="M241:N241"/>
    <mergeCell ref="E245:F245"/>
    <mergeCell ref="G245:H245"/>
    <mergeCell ref="I245:J245"/>
    <mergeCell ref="K245:L245"/>
    <mergeCell ref="M245:N245"/>
    <mergeCell ref="C239:N239"/>
    <mergeCell ref="D16:K16"/>
    <mergeCell ref="D17:K17"/>
    <mergeCell ref="D18:K18"/>
    <mergeCell ref="C219:M219"/>
    <mergeCell ref="E156:G156"/>
    <mergeCell ref="H156:J156"/>
    <mergeCell ref="K156:M156"/>
    <mergeCell ref="E164:G164"/>
    <mergeCell ref="H164:J164"/>
    <mergeCell ref="K164:M164"/>
    <mergeCell ref="A254:A276"/>
    <mergeCell ref="C255:D255"/>
    <mergeCell ref="C262:C266"/>
    <mergeCell ref="C270:C274"/>
    <mergeCell ref="E256:F256"/>
    <mergeCell ref="G256:H256"/>
    <mergeCell ref="I256:J256"/>
    <mergeCell ref="K256:L256"/>
    <mergeCell ref="M256:N256"/>
    <mergeCell ref="E260:F260"/>
    <mergeCell ref="G260:H260"/>
    <mergeCell ref="I260:J260"/>
    <mergeCell ref="K260:L260"/>
    <mergeCell ref="M260:N260"/>
    <mergeCell ref="C254:N254"/>
    <mergeCell ref="E268:F268"/>
    <mergeCell ref="G268:H268"/>
    <mergeCell ref="I268:J268"/>
    <mergeCell ref="K268:L268"/>
    <mergeCell ref="M268:N268"/>
    <mergeCell ref="A277:A299"/>
    <mergeCell ref="C277:N277"/>
    <mergeCell ref="C278:D278"/>
    <mergeCell ref="E279:F279"/>
    <mergeCell ref="G279:H279"/>
    <mergeCell ref="I279:J279"/>
    <mergeCell ref="K279:L279"/>
    <mergeCell ref="M279:N279"/>
    <mergeCell ref="E283:F283"/>
    <mergeCell ref="G283:H283"/>
    <mergeCell ref="I283:J283"/>
    <mergeCell ref="K283:L283"/>
    <mergeCell ref="M283:N283"/>
    <mergeCell ref="C285:C289"/>
    <mergeCell ref="E291:F291"/>
    <mergeCell ref="G291:H291"/>
    <mergeCell ref="I291:J291"/>
    <mergeCell ref="K291:L291"/>
    <mergeCell ref="M291:N291"/>
    <mergeCell ref="C293:C297"/>
  </mergeCells>
  <phoneticPr fontId="13" type="noConversion"/>
  <hyperlinks>
    <hyperlink ref="D5" location="Recyclables!A35" display="Recyclables!A35" xr:uid="{00000000-0004-0000-0400-000000000000}"/>
    <hyperlink ref="D9" location="Recyclables!A127" display="Recyclables!A127" xr:uid="{00000000-0004-0000-0400-000001000000}"/>
    <hyperlink ref="D8" location="Recyclables!A107" display="Recyclables!A107" xr:uid="{00000000-0004-0000-0400-000002000000}"/>
    <hyperlink ref="D6" location="Recyclables!A62" display="Recyclables!A62" xr:uid="{00000000-0004-0000-0400-000003000000}"/>
    <hyperlink ref="D7" location="Recyclables!A87" display="Recyclables!A87" xr:uid="{00000000-0004-0000-0400-000004000000}"/>
    <hyperlink ref="D2" location="Sommaire!A1" display="Retour sommaire annexe" xr:uid="{00000000-0004-0000-0400-000005000000}"/>
    <hyperlink ref="C25" location="'Papiers et Emb. HV'!A1" display="Retour sommaire fiche" xr:uid="{00000000-0004-0000-0400-000006000000}"/>
    <hyperlink ref="D10" location="Recyclables!A154" display="Recyclables!A154" xr:uid="{00000000-0004-0000-0400-000011000000}"/>
    <hyperlink ref="D11:D13" location="OMR!A142" display="OMR!A142" xr:uid="{00000000-0004-0000-0400-000013000000}"/>
    <hyperlink ref="D14" location="OMR!A142" display="OMR!A142" xr:uid="{00000000-0004-0000-0400-00001A000000}"/>
    <hyperlink ref="D14" location="Recyclables!A294" display="Recyclables!A294" xr:uid="{00000000-0004-0000-0400-00002D000000}"/>
    <hyperlink ref="D11" location="Recyclables!A154" display="Recyclables!A154" xr:uid="{6D44ABC3-540F-4290-B806-0A1BB94C3C30}"/>
    <hyperlink ref="D12" location="Recyclables!A154" display="Recyclables!A154" xr:uid="{A85C9F57-D535-4AC3-B73E-7FB73AE0AC8F}"/>
    <hyperlink ref="D13" location="Recyclables!A154" display="Recyclables!A154" xr:uid="{A95F4422-A371-4528-B24F-436634AE3220}"/>
    <hyperlink ref="D5:G5" location="'Papiers et Emb. HV'!A22" display="Tableau 31 - Coûts de synthèse des papiers et emballages hors verre" xr:uid="{1F944925-2714-4BCC-9801-A1EA047B2B44}"/>
    <hyperlink ref="D6:G6" location="'Papiers et Emb. HV'!A45" display="Tableau 32 - Charges des papiers et emballages hors verre par étape technique" xr:uid="{6F1B7C52-F130-4618-9D61-266C7A473AB8}"/>
    <hyperlink ref="D7:G7" location="'Papiers et Emb. HV'!A66" display="Tableau 33 - Produits des papiers et emballages hors verre par nature" xr:uid="{6BAF2059-3465-47F0-B1E6-BAB3EC21DF17}"/>
    <hyperlink ref="D8:G8" location="'Papiers et Emb. HV'!A86" display="Tableau 34 - Evolution du coût aidé HT des papiers et emballages hors verre" xr:uid="{27C3BF97-3455-407E-931B-2E643C59AA90}"/>
    <hyperlink ref="D9:G9" location="'Papiers et Emb. HV'!A106" display="Tableau 35 - Coûts aidés HT des papiers et emballages hors verre selon la typologie d'habitat" xr:uid="{B727AE0D-EF9B-4AE0-98D0-5E3CF516394B}"/>
    <hyperlink ref="D10:G10" location="'Papiers et Emb. HV'!A129" display="Tableau 36 - Coût aidé HT par mode/schéma de collecte" xr:uid="{B27DCCE7-B334-43C6-80D7-A5C8F726CA74}"/>
    <hyperlink ref="D11:G11" location="'Papiers et Emb. HV'!A152" display="Tableau 37 - Charges de pré-collecte et collecte par mode/schéma de collecte" xr:uid="{A97D6D90-880C-464B-B556-AB800D4396F2}"/>
    <hyperlink ref="D12:G12" location="'Papiers et Emb. HV'!A195" display="Tableau 39 - Charges de pré-collecte par mode/schéma de collecte" xr:uid="{23EE001C-0B01-428A-808C-C5B5600F5339}"/>
    <hyperlink ref="D13:G13" location="'Papiers et Emb. HV'!A238" display="Tableau 41 - Charges de collecte par mode/schéma de collecte" xr:uid="{67EFC54C-084C-48D3-8314-54DC6A9ADBEB}"/>
    <hyperlink ref="D14:G14" location="'Papiers et Emb. HV'!A281" display="Tableau 43 - Charges de traitement par schéma de collecte" xr:uid="{1CFD82B4-20E2-467A-ADEA-56F43117707C}"/>
    <hyperlink ref="C47" location="'Papiers et Emb. HV'!A1" display="Retour sommaire fiche" xr:uid="{099336FB-8122-470E-838D-640344187FB9}"/>
    <hyperlink ref="C67" location="'Papiers et Emb. HV'!A1" display="Retour sommaire fiche" xr:uid="{199BAE82-1914-4485-8470-F695CF793E69}"/>
    <hyperlink ref="C87" location="'Papiers et Emb. HV'!A1" display="Retour sommaire fiche" xr:uid="{71B811C5-24A8-495E-A810-E12A66BD15D9}"/>
    <hyperlink ref="C107" location="'Papiers et Emb. HV'!A1" display="Retour sommaire fiche" xr:uid="{FA334488-E145-41E0-A1F0-802854C34B11}"/>
    <hyperlink ref="C128" location="'Papiers et Emb. HV'!A1" display="Retour sommaire fiche" xr:uid="{FDDEFEDB-39AE-481D-A03C-95BA7E916F5E}"/>
    <hyperlink ref="C151" location="'Papiers et Emb. HV'!A1" display="Retour sommaire fiche" xr:uid="{2A14E686-2392-4BB2-969B-C9DCE97CD6CF}"/>
    <hyperlink ref="C174" location="'Papiers et Emb. HV'!A1" display="Retour sommaire fiche" xr:uid="{6ABC3DDC-27AF-4B8E-8C22-A341DE323643}"/>
    <hyperlink ref="C197" location="'Papiers et Emb. HV'!A1" display="Retour sommaire fiche" xr:uid="{6E7B435C-CBF1-4EB8-8FDC-36067EA1AE48}"/>
    <hyperlink ref="C220" location="'Papiers et Emb. HV'!A1" display="Retour sommaire fiche" xr:uid="{06F0652E-8569-406D-8952-6937F541BE50}"/>
    <hyperlink ref="D5:K5" location="'Papiers et Emb. HV'!A24" display="Papiers et emballages hors verre - Coûts de synthèse" xr:uid="{BF4F8F7B-6D3A-46D2-8C7D-F7C7DB607F92}"/>
    <hyperlink ref="D6:K6" location="'Papiers et Emb. HV'!A46" display="Papiers et emballages hors verre - Charges par étape technique" xr:uid="{56E470CF-4517-4B5F-A8AA-922E89FAC49B}"/>
    <hyperlink ref="D7:K7" location="'Papiers et Emb. HV'!A66" display="Papiers et emballages hors verre - Produits par nature" xr:uid="{19EF30C4-A2A9-40CF-97B8-A7C628DA8024}"/>
    <hyperlink ref="D8:K8" location="'Papiers et Emb. HV'!A86" display="Papiers et emballages hors verre - Évolution du coût aidé HT" xr:uid="{0E7D614C-37DC-490D-A9F4-50F614623DF2}"/>
    <hyperlink ref="D9:K9" location="'Papiers et Emb. HV'!A106" display="Papiers et emballages hors verre - Coût aidé HT et typologie d'habitat" xr:uid="{DE370A34-6CAC-4B06-A203-89F04FCE0209}"/>
    <hyperlink ref="D10:K10" location="'Papiers et Emb. HV'!A127" display="Papiers et emballages hors verre - Coût aidé HT et mode/schéma de collecte" xr:uid="{6F4E11C7-BA83-4CA4-831C-E60A5E736B9E}"/>
    <hyperlink ref="D11:K11" location="'Papiers et Emb. HV'!A150" display="Papiers et emballages hors verre - Charges de pré-collecte et collecte et mode/schéma de collecte" xr:uid="{7EF14E5D-D7F4-4DD4-BCBD-1C2B39F91351}"/>
    <hyperlink ref="D12:K12" location="'Papiers et Emb. HV'!A173" display="Papiers et emballages hors verre - Charges de pré-collecte et mode/schéma de collecte" xr:uid="{49783542-C244-427E-BAA9-32EB4050A0E8}"/>
    <hyperlink ref="D13:K13" location="'Papiers et Emb. HV'!A196" display="Papiers et emballages hors verre - Charges de collecte et mode/schéma de collecte" xr:uid="{9ACB8C9E-7029-4B6E-84FD-3FA98F9BD789}"/>
    <hyperlink ref="D14:K14" location="'Papiers et Emb. HV'!A219" display="Papiers et emballages hors verre - Charges de traitement et schéma de collecte" xr:uid="{DAF6F123-B8FC-4E09-8D62-BE400C3F54DB}"/>
    <hyperlink ref="D15" location="Recyclables!A294" display="Recyclables!A294" xr:uid="{1C4238FE-4DBA-42F7-A11E-985B52014ED0}"/>
    <hyperlink ref="D15:G15" location="'Papiers et Emb. HV'!A281" display="Tableau 43 - Charges de traitement par schéma de collecte" xr:uid="{429FC378-1231-4ED6-9FA3-D8AD5CC9C5B0}"/>
    <hyperlink ref="D15:K15" location="'Papiers et Emb. HV'!A239" display="Papiers et emballages hors verre - Quantités collectées par sous-flux et par mode de collecte" xr:uid="{1B1F9B5A-687F-4FE7-B2D2-B70BC154DBEF}"/>
    <hyperlink ref="C240" location="'Papiers et Emb. HV'!A1" display="Retour sommaire fiche" xr:uid="{7DB0C2D7-368E-49B2-9A9C-D3C4CC7E8C28}"/>
    <hyperlink ref="D16" location="Recyclables!A294" display="Recyclables!A294" xr:uid="{53AC3FD2-FC17-4F6E-A752-51EF6C48B12E}"/>
    <hyperlink ref="D16:G16" location="'Papiers et Emb. HV'!A281" display="Tableau 43 - Charges de traitement par schéma de collecte" xr:uid="{B4BF4FAC-AAC2-4661-90A2-71EBC300A995}"/>
    <hyperlink ref="D16:K16" location="'Papiers et Emb. HV'!A254" display="Papiers et emballages hors verre - Coût complet par sous-flux et mode de collecte" xr:uid="{3E5FE092-B68C-4E46-B587-91ABFBB9DD23}"/>
    <hyperlink ref="D17" location="Recyclables!A294" display="Recyclables!A294" xr:uid="{FF5861B1-CB39-4344-B238-914B331C4853}"/>
    <hyperlink ref="D17:G17" location="'Papiers et Emb. HV'!A281" display="Tableau 43 - Charges de traitement par schéma de collecte" xr:uid="{D823B2BC-918A-4663-8190-E3E35F0ADD0C}"/>
    <hyperlink ref="D17:K17" location="'Papiers et Emb. HV'!A277" display="Papiers et emballages hors verre - Coût aidé HT par sous-flux et mode de collecte" xr:uid="{176A98DC-3E4F-4E64-B2EC-F22F6AEBE24B}"/>
    <hyperlink ref="C255" location="'Papiers et Emb. HV'!A1" display="Retour sommaire fiche" xr:uid="{0E64DB5B-27E1-4E90-A82B-A2C5D74A9F15}"/>
    <hyperlink ref="C278" location="'Papiers et Emb. HV'!A1" display="Retour sommaire fiche" xr:uid="{EA2BAEEC-6B9E-4117-BD79-2FEE6E549D45}"/>
    <hyperlink ref="D18" location="Recyclables!A294" display="Recyclables!A294" xr:uid="{CDBA0E3F-2C42-45C3-881E-C91203B5CAD6}"/>
    <hyperlink ref="D18:G18" location="'Papiers et Emb. HV'!A281" display="Tableau 43 - Charges de traitement par schéma de collecte" xr:uid="{A7B4156E-76AE-4275-8470-656A752B1E3E}"/>
    <hyperlink ref="D18:K18" location="'Papiers et Emb. HV'!A300" display="Papiers et emballages hors verre - Charges de pré-collecte et collecte par sous-flux et mode de collecte" xr:uid="{DD11DF88-FD46-4A30-9439-B41B084FCD63}"/>
    <hyperlink ref="C301" location="'Papiers et Emb. HV'!A1" display="Retour sommaire fiche" xr:uid="{C8E2E72E-15C5-424E-B2B2-B186E05D994C}"/>
    <hyperlink ref="C324" location="'Papiers et Emb. HV'!A1" display="Retour sommaire fiche" xr:uid="{4F39C5E2-B002-489B-937D-A09548A85A11}"/>
    <hyperlink ref="D19" location="Recyclables!A294" display="Recyclables!A294" xr:uid="{11F83EBB-9BF8-4DE3-9BC1-AA2F759F71C3}"/>
    <hyperlink ref="D19:G19" location="'Papiers et Emb. HV'!A281" display="Tableau 43 - Charges de traitement par schéma de collecte" xr:uid="{50421739-A453-48DC-AEA8-469C3547A1E2}"/>
    <hyperlink ref="D19:K19" location="'Papiers et Emb. HV'!A323" display="Papiers et emballages hors verre - Charges de pré-collecte par sous-flux et mode de collecte" xr:uid="{8607BCF2-9135-479E-9F3F-47BA7FD502FB}"/>
    <hyperlink ref="D20" location="Recyclables!A294" display="Recyclables!A294" xr:uid="{4984145A-9613-443C-A1DE-45ED929B9076}"/>
    <hyperlink ref="D20:G20" location="'Papiers et Emb. HV'!A281" display="Tableau 43 - Charges de traitement par schéma de collecte" xr:uid="{48E88AB2-C93B-4F4D-949B-37AB1C2D397E}"/>
    <hyperlink ref="D20:K20" location="'Papiers et Emb. HV'!A346" display="Papiers et emballages hors verre - Charges de collecte par sous-flux et mode de collecte" xr:uid="{2010254C-7273-464F-8145-88680254BC8E}"/>
    <hyperlink ref="C347" location="'Papiers et Emb. HV'!A1" display="Retour sommaire fiche" xr:uid="{4F5AF913-7D8A-40C7-BA1E-B81B8A9655E4}"/>
    <hyperlink ref="D21" location="Recyclables!A294" display="Recyclables!A294" xr:uid="{44910F42-3389-4141-BBEF-48BE614C8436}"/>
    <hyperlink ref="D21:G21" location="'Papiers et Emb. HV'!A281" display="Tableau 43 - Charges de traitement par schéma de collecte" xr:uid="{943E2EE1-9909-433F-8958-0F6C1218AE4A}"/>
    <hyperlink ref="D21:K21" location="'Papiers et Emb. HV'!A369" display="Papiers et emballages hors verre - Charges de tri par sous-flux" xr:uid="{C76C9166-2260-4915-BD6F-2E3318B6D90B}"/>
    <hyperlink ref="C370" location="'Papiers et Emb. HV'!A1" display="Retour sommaire fiche" xr:uid="{BBCE062A-F1F9-4DD0-A3C2-3D88875CA1CA}"/>
  </hyperlinks>
  <pageMargins left="0.70866141732283472" right="0.70866141732283472" top="0.74803149606299213" bottom="0.74803149606299213" header="0.31496062992125984" footer="0.31496062992125984"/>
  <pageSetup paperSize="9" scale="59" fitToHeight="10" orientation="portrait" r:id="rId1"/>
  <rowBreaks count="1" manualBreakCount="1">
    <brk id="105" min="2" max="1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27"/>
  <sheetViews>
    <sheetView showGridLines="0" topLeftCell="C1" zoomScaleNormal="100" workbookViewId="0">
      <selection activeCell="J10" sqref="J10"/>
    </sheetView>
  </sheetViews>
  <sheetFormatPr baseColWidth="10" defaultColWidth="11.44140625" defaultRowHeight="14.4" x14ac:dyDescent="0.3"/>
  <cols>
    <col min="1" max="2" width="11.44140625" hidden="1" customWidth="1"/>
    <col min="3" max="3" width="3.33203125" customWidth="1"/>
    <col min="4" max="4" width="25.33203125" style="1" bestFit="1" customWidth="1"/>
    <col min="5" max="18" width="16.6640625" customWidth="1"/>
  </cols>
  <sheetData>
    <row r="1" spans="1:13" ht="18" x14ac:dyDescent="0.35">
      <c r="C1" s="81" t="s">
        <v>0</v>
      </c>
      <c r="D1" s="81"/>
      <c r="E1" s="81"/>
      <c r="F1" s="81"/>
      <c r="G1" s="81"/>
      <c r="H1" s="81"/>
    </row>
    <row r="2" spans="1:13" x14ac:dyDescent="0.3">
      <c r="C2" s="59"/>
      <c r="D2" s="99" t="s">
        <v>12</v>
      </c>
      <c r="E2" s="99"/>
      <c r="F2" s="99"/>
      <c r="G2" s="99"/>
      <c r="H2" s="99"/>
      <c r="I2" s="99"/>
      <c r="J2" s="99"/>
      <c r="K2" s="99"/>
      <c r="L2" s="11"/>
      <c r="M2" s="59"/>
    </row>
    <row r="3" spans="1:13" x14ac:dyDescent="0.3">
      <c r="C3" s="59"/>
      <c r="D3" s="60"/>
      <c r="E3" s="59"/>
      <c r="F3" s="59"/>
      <c r="G3" s="59"/>
      <c r="K3" s="59"/>
      <c r="L3" s="1"/>
    </row>
    <row r="4" spans="1:13" x14ac:dyDescent="0.3">
      <c r="C4" s="59"/>
      <c r="D4" s="60"/>
      <c r="E4" s="59"/>
      <c r="F4" s="59"/>
      <c r="G4" s="59"/>
      <c r="K4" s="59"/>
      <c r="L4" s="1"/>
    </row>
    <row r="5" spans="1:13" x14ac:dyDescent="0.3">
      <c r="C5" s="59"/>
      <c r="D5" s="99" t="s">
        <v>90</v>
      </c>
      <c r="E5" s="99"/>
      <c r="F5" s="99"/>
      <c r="G5" s="99"/>
      <c r="H5" s="99"/>
      <c r="I5" s="99"/>
      <c r="J5" s="99"/>
      <c r="K5" s="99"/>
      <c r="L5" s="11"/>
      <c r="M5" s="59"/>
    </row>
    <row r="6" spans="1:13" x14ac:dyDescent="0.3">
      <c r="C6" s="59"/>
      <c r="D6" s="99" t="s">
        <v>91</v>
      </c>
      <c r="E6" s="99"/>
      <c r="F6" s="99"/>
      <c r="G6" s="99"/>
      <c r="H6" s="99"/>
      <c r="I6" s="99"/>
      <c r="J6" s="99"/>
      <c r="K6" s="99"/>
      <c r="L6" s="11"/>
      <c r="M6" s="59"/>
    </row>
    <row r="7" spans="1:13" x14ac:dyDescent="0.3">
      <c r="C7" s="59"/>
      <c r="D7" s="99" t="s">
        <v>131</v>
      </c>
      <c r="E7" s="99"/>
      <c r="F7" s="99"/>
      <c r="G7" s="99"/>
      <c r="H7" s="99"/>
      <c r="I7" s="99"/>
      <c r="J7" s="99"/>
      <c r="K7" s="99"/>
      <c r="L7" s="11"/>
      <c r="M7" s="59"/>
    </row>
    <row r="8" spans="1:13" x14ac:dyDescent="0.3">
      <c r="C8" s="59"/>
      <c r="D8" s="99" t="s">
        <v>92</v>
      </c>
      <c r="E8" s="99"/>
      <c r="F8" s="99"/>
      <c r="G8" s="99"/>
      <c r="H8" s="99"/>
      <c r="I8" s="99"/>
      <c r="J8" s="99"/>
      <c r="K8" s="99"/>
      <c r="L8" s="11"/>
      <c r="M8" s="59"/>
    </row>
    <row r="9" spans="1:13" x14ac:dyDescent="0.3">
      <c r="C9" s="59"/>
      <c r="D9" s="99" t="s">
        <v>93</v>
      </c>
      <c r="E9" s="99"/>
      <c r="F9" s="99"/>
      <c r="G9" s="99"/>
      <c r="H9" s="99"/>
      <c r="I9" s="99"/>
      <c r="J9" s="99"/>
      <c r="K9" s="99"/>
      <c r="L9" s="11"/>
      <c r="M9" s="59"/>
    </row>
    <row r="10" spans="1:13" x14ac:dyDescent="0.3">
      <c r="C10" s="59"/>
      <c r="D10" s="116" t="s">
        <v>94</v>
      </c>
      <c r="E10" s="116"/>
      <c r="F10" s="116"/>
      <c r="L10" s="11"/>
      <c r="M10" s="59"/>
    </row>
    <row r="11" spans="1:13" x14ac:dyDescent="0.3">
      <c r="C11" s="59"/>
      <c r="D11" s="60"/>
      <c r="E11" s="59"/>
      <c r="F11" s="59"/>
      <c r="G11" s="59"/>
      <c r="H11" s="59"/>
      <c r="I11" s="59"/>
      <c r="J11" s="59"/>
      <c r="K11" s="59"/>
      <c r="L11" s="1"/>
    </row>
    <row r="12" spans="1:13" x14ac:dyDescent="0.3">
      <c r="C12" s="59"/>
      <c r="D12" s="60"/>
      <c r="E12" s="59"/>
      <c r="F12" s="59"/>
      <c r="G12" s="59"/>
      <c r="H12" s="59"/>
      <c r="I12" s="59"/>
      <c r="J12" s="59"/>
      <c r="K12" s="59"/>
    </row>
    <row r="13" spans="1:13" ht="18" x14ac:dyDescent="0.35">
      <c r="A13" s="104"/>
      <c r="C13" s="81" t="str">
        <f>D5</f>
        <v>Déchets en déchèterie - Coûts de synthèse</v>
      </c>
      <c r="D13" s="81"/>
      <c r="E13" s="81"/>
      <c r="F13" s="81"/>
      <c r="G13" s="81"/>
      <c r="H13" s="81"/>
      <c r="I13" s="59"/>
      <c r="J13" s="59"/>
      <c r="K13" s="59"/>
    </row>
    <row r="14" spans="1:13" x14ac:dyDescent="0.3">
      <c r="A14" s="104"/>
      <c r="C14" s="106" t="s">
        <v>35</v>
      </c>
      <c r="D14" s="106"/>
      <c r="E14" s="59"/>
      <c r="F14" s="59"/>
      <c r="G14" s="59"/>
      <c r="H14" s="59"/>
      <c r="I14" s="59"/>
      <c r="J14" s="59"/>
      <c r="K14" s="59"/>
    </row>
    <row r="15" spans="1:13" x14ac:dyDescent="0.3">
      <c r="A15" s="104"/>
      <c r="C15" s="59"/>
      <c r="D15" s="59"/>
      <c r="E15" s="2" t="s">
        <v>19</v>
      </c>
      <c r="F15" s="2" t="s">
        <v>20</v>
      </c>
      <c r="G15" s="2" t="s">
        <v>21</v>
      </c>
      <c r="H15" s="2" t="s">
        <v>22</v>
      </c>
      <c r="I15" s="59"/>
      <c r="J15" s="59"/>
      <c r="K15" s="59"/>
    </row>
    <row r="16" spans="1:13" x14ac:dyDescent="0.3">
      <c r="A16" s="104"/>
      <c r="C16" s="59"/>
      <c r="D16" s="3" t="s">
        <v>36</v>
      </c>
      <c r="E16" s="4">
        <v>443</v>
      </c>
      <c r="F16" s="4">
        <v>597</v>
      </c>
      <c r="G16" s="4">
        <f>F16</f>
        <v>597</v>
      </c>
      <c r="H16" s="4">
        <f>F16</f>
        <v>597</v>
      </c>
      <c r="I16" s="59"/>
      <c r="J16" s="59"/>
      <c r="K16" s="59"/>
    </row>
    <row r="17" spans="1:13" x14ac:dyDescent="0.3">
      <c r="A17" s="104"/>
      <c r="C17" s="59"/>
      <c r="D17" s="3" t="s">
        <v>37</v>
      </c>
      <c r="E17" s="79">
        <v>23188175</v>
      </c>
      <c r="F17" s="79">
        <v>36422353</v>
      </c>
      <c r="G17" s="79">
        <f>F17</f>
        <v>36422353</v>
      </c>
      <c r="H17" s="79">
        <f>F17</f>
        <v>36422353</v>
      </c>
      <c r="I17" s="59"/>
      <c r="J17" s="59"/>
      <c r="K17" s="59"/>
    </row>
    <row r="18" spans="1:13" x14ac:dyDescent="0.3">
      <c r="A18" s="104"/>
      <c r="C18" s="59"/>
      <c r="D18" s="3" t="s">
        <v>38</v>
      </c>
      <c r="E18" s="71">
        <v>181.56421829388879</v>
      </c>
      <c r="F18" s="71">
        <v>180.9512978123266</v>
      </c>
      <c r="G18" s="71">
        <f>F18</f>
        <v>180.9512978123266</v>
      </c>
      <c r="H18" s="71">
        <f>F18</f>
        <v>180.9512978123266</v>
      </c>
      <c r="I18" s="59"/>
      <c r="J18" s="59"/>
      <c r="K18" s="59"/>
    </row>
    <row r="19" spans="1:13" x14ac:dyDescent="0.3">
      <c r="A19" s="104"/>
      <c r="C19" s="59"/>
      <c r="D19" s="60"/>
      <c r="E19" s="59"/>
      <c r="F19" s="59"/>
      <c r="G19" s="59"/>
      <c r="H19" s="59"/>
      <c r="I19" s="59"/>
      <c r="J19" s="59"/>
      <c r="K19" s="59"/>
    </row>
    <row r="20" spans="1:13" x14ac:dyDescent="0.3">
      <c r="A20" s="104"/>
      <c r="C20" s="59"/>
      <c r="D20" s="59"/>
      <c r="E20" s="2" t="s">
        <v>19</v>
      </c>
      <c r="F20" s="2" t="s">
        <v>20</v>
      </c>
      <c r="G20" s="2" t="s">
        <v>21</v>
      </c>
      <c r="H20" s="2" t="s">
        <v>22</v>
      </c>
      <c r="I20" s="59"/>
      <c r="J20" s="59"/>
      <c r="K20" s="59"/>
    </row>
    <row r="21" spans="1:13" x14ac:dyDescent="0.3">
      <c r="A21" s="104"/>
      <c r="C21" s="107" t="s">
        <v>39</v>
      </c>
      <c r="D21" s="17" t="s">
        <v>23</v>
      </c>
      <c r="E21" s="33">
        <v>60.036400000000008</v>
      </c>
      <c r="F21" s="33">
        <v>57.249400000000009</v>
      </c>
      <c r="G21" s="33">
        <v>55.6556</v>
      </c>
      <c r="H21" s="33">
        <v>54.514400000000002</v>
      </c>
      <c r="I21" s="59"/>
      <c r="J21" s="59"/>
      <c r="K21" s="59"/>
    </row>
    <row r="22" spans="1:13" x14ac:dyDescent="0.3">
      <c r="A22" s="104"/>
      <c r="C22" s="107"/>
      <c r="D22" s="16" t="s">
        <v>24</v>
      </c>
      <c r="E22" s="34">
        <v>49.988999999999997</v>
      </c>
      <c r="F22" s="34">
        <v>46.970500000000001</v>
      </c>
      <c r="G22" s="34">
        <v>44.644499999999994</v>
      </c>
      <c r="H22" s="34">
        <v>43.725999999999999</v>
      </c>
      <c r="I22" s="59"/>
      <c r="J22" s="59"/>
      <c r="K22" s="59"/>
    </row>
    <row r="23" spans="1:13" s="25" customFormat="1" ht="17.399999999999999" customHeight="1" x14ac:dyDescent="0.3">
      <c r="A23" s="104"/>
      <c r="C23" s="107"/>
      <c r="D23" s="35" t="s">
        <v>25</v>
      </c>
      <c r="E23" s="33">
        <v>33.697716556020687</v>
      </c>
      <c r="F23" s="33">
        <v>32.81940033369105</v>
      </c>
      <c r="G23" s="33">
        <v>31.391240233916843</v>
      </c>
      <c r="H23" s="33">
        <v>31.041736738742877</v>
      </c>
      <c r="I23" s="64"/>
      <c r="J23" s="59"/>
      <c r="K23" s="59"/>
      <c r="L23"/>
      <c r="M23"/>
    </row>
    <row r="24" spans="1:13" x14ac:dyDescent="0.3">
      <c r="A24" s="104"/>
      <c r="C24" s="107"/>
      <c r="D24" s="16" t="s">
        <v>27</v>
      </c>
      <c r="E24" s="34">
        <v>33.476999999999997</v>
      </c>
      <c r="F24" s="34">
        <v>30.823499999999999</v>
      </c>
      <c r="G24" s="34">
        <v>29.233000000000001</v>
      </c>
      <c r="H24" s="34">
        <v>28.810000000000002</v>
      </c>
      <c r="I24" s="59"/>
      <c r="J24" s="59"/>
      <c r="K24" s="59"/>
    </row>
    <row r="25" spans="1:13" x14ac:dyDescent="0.3">
      <c r="A25" s="104"/>
      <c r="C25" s="107"/>
      <c r="D25" s="17" t="s">
        <v>28</v>
      </c>
      <c r="E25" s="33">
        <v>26.725200000000001</v>
      </c>
      <c r="F25" s="33">
        <v>25.4802</v>
      </c>
      <c r="G25" s="33">
        <v>23.927599999999998</v>
      </c>
      <c r="H25" s="33">
        <v>23.4938</v>
      </c>
      <c r="I25" s="59"/>
      <c r="J25" s="59"/>
      <c r="K25" s="59"/>
    </row>
    <row r="26" spans="1:13" x14ac:dyDescent="0.3">
      <c r="A26" s="104"/>
      <c r="C26" s="59"/>
      <c r="D26" s="59"/>
      <c r="E26" s="61"/>
      <c r="F26" s="61"/>
      <c r="G26" s="61"/>
      <c r="H26" s="61"/>
      <c r="I26" s="59"/>
      <c r="J26" s="59"/>
      <c r="K26" s="59"/>
    </row>
    <row r="27" spans="1:13" x14ac:dyDescent="0.3">
      <c r="A27" s="104"/>
      <c r="C27" s="59"/>
      <c r="D27" s="59"/>
      <c r="E27" s="2" t="s">
        <v>19</v>
      </c>
      <c r="F27" s="2" t="s">
        <v>20</v>
      </c>
      <c r="G27" s="2" t="s">
        <v>21</v>
      </c>
      <c r="H27" s="2" t="s">
        <v>22</v>
      </c>
      <c r="I27" s="59"/>
      <c r="J27" s="59"/>
      <c r="K27" s="59"/>
    </row>
    <row r="28" spans="1:13" x14ac:dyDescent="0.3">
      <c r="A28" s="104"/>
      <c r="C28" s="108" t="s">
        <v>40</v>
      </c>
      <c r="D28" s="7" t="s">
        <v>23</v>
      </c>
      <c r="E28" s="8">
        <v>242.52980000000002</v>
      </c>
      <c r="F28" s="8">
        <v>240.55080000000001</v>
      </c>
      <c r="G28" s="8">
        <v>228.1456</v>
      </c>
      <c r="H28" s="8">
        <v>224.04580000000004</v>
      </c>
      <c r="I28" s="59"/>
      <c r="J28" s="59"/>
      <c r="K28" s="59"/>
    </row>
    <row r="29" spans="1:13" x14ac:dyDescent="0.3">
      <c r="A29" s="104"/>
      <c r="C29" s="108"/>
      <c r="D29" s="5" t="s">
        <v>24</v>
      </c>
      <c r="E29" s="9">
        <v>218.35400000000001</v>
      </c>
      <c r="F29" s="9">
        <v>208.80500000000001</v>
      </c>
      <c r="G29" s="9">
        <v>200.21899999999999</v>
      </c>
      <c r="H29" s="9">
        <v>196.1515</v>
      </c>
      <c r="I29" s="59"/>
      <c r="J29" s="59"/>
      <c r="K29" s="59"/>
    </row>
    <row r="30" spans="1:13" x14ac:dyDescent="0.3">
      <c r="A30" s="104"/>
      <c r="C30" s="108"/>
      <c r="D30" s="7" t="s">
        <v>25</v>
      </c>
      <c r="E30" s="8">
        <v>185.01116593931684</v>
      </c>
      <c r="F30" s="8">
        <v>180.80448664447425</v>
      </c>
      <c r="G30" s="8">
        <v>172.87101228672915</v>
      </c>
      <c r="H30" s="8">
        <v>170.8922122192015</v>
      </c>
      <c r="I30" s="59"/>
      <c r="J30" s="59"/>
      <c r="K30" s="59"/>
    </row>
    <row r="31" spans="1:13" x14ac:dyDescent="0.3">
      <c r="A31" s="104"/>
      <c r="C31" s="108"/>
      <c r="D31" s="5" t="s">
        <v>27</v>
      </c>
      <c r="E31" s="9">
        <v>157.36600000000001</v>
      </c>
      <c r="F31" s="9">
        <v>148.37</v>
      </c>
      <c r="G31" s="9">
        <v>139.74250000000001</v>
      </c>
      <c r="H31" s="9">
        <v>137.619</v>
      </c>
      <c r="I31" s="59"/>
      <c r="J31" s="59"/>
      <c r="K31" s="59"/>
    </row>
    <row r="32" spans="1:13" x14ac:dyDescent="0.3">
      <c r="A32" s="104"/>
      <c r="C32" s="108"/>
      <c r="D32" s="7" t="s">
        <v>28</v>
      </c>
      <c r="E32" s="8">
        <v>130.99860000000001</v>
      </c>
      <c r="F32" s="8">
        <v>124.06</v>
      </c>
      <c r="G32" s="8">
        <v>114.6276</v>
      </c>
      <c r="H32" s="8">
        <v>113.42739999999999</v>
      </c>
      <c r="I32" s="59"/>
      <c r="J32" s="59"/>
      <c r="K32" s="59"/>
    </row>
    <row r="33" spans="1:14" x14ac:dyDescent="0.3">
      <c r="A33" s="104"/>
      <c r="C33" s="59"/>
      <c r="D33" s="60"/>
      <c r="E33" s="59"/>
      <c r="F33" s="59"/>
      <c r="G33" s="59"/>
      <c r="H33" s="59"/>
      <c r="I33" s="59"/>
      <c r="J33" s="59"/>
      <c r="K33" s="59"/>
    </row>
    <row r="34" spans="1:14" x14ac:dyDescent="0.3">
      <c r="A34" s="104"/>
      <c r="C34" s="59"/>
      <c r="D34" s="60"/>
      <c r="E34" s="59"/>
      <c r="F34" s="59"/>
      <c r="G34" s="59"/>
      <c r="H34" s="59"/>
      <c r="I34" s="59"/>
      <c r="J34" s="59"/>
      <c r="K34" s="59"/>
    </row>
    <row r="35" spans="1:14" ht="18" x14ac:dyDescent="0.35">
      <c r="A35" s="104"/>
      <c r="C35" s="81" t="str">
        <f>D6</f>
        <v>Déchets en déchèterie - Charges par étape technique</v>
      </c>
      <c r="D35" s="81"/>
      <c r="E35" s="81"/>
      <c r="F35" s="81"/>
      <c r="G35" s="81"/>
      <c r="H35" s="81"/>
      <c r="I35" s="59"/>
      <c r="J35" s="59"/>
      <c r="K35" s="59"/>
    </row>
    <row r="36" spans="1:14" x14ac:dyDescent="0.3">
      <c r="A36" s="104"/>
      <c r="C36" s="106" t="s">
        <v>35</v>
      </c>
      <c r="D36" s="106"/>
      <c r="E36" s="59"/>
      <c r="F36" s="59"/>
      <c r="G36" s="59"/>
      <c r="H36" s="59"/>
      <c r="I36" s="59"/>
      <c r="J36" s="59"/>
      <c r="K36" s="59"/>
    </row>
    <row r="37" spans="1:14" x14ac:dyDescent="0.3">
      <c r="A37" s="104"/>
      <c r="C37" s="59"/>
      <c r="D37" s="59"/>
      <c r="E37" s="18" t="s">
        <v>56</v>
      </c>
      <c r="F37" s="18" t="s">
        <v>57</v>
      </c>
      <c r="G37" s="18" t="s">
        <v>58</v>
      </c>
      <c r="H37" s="18" t="s">
        <v>95</v>
      </c>
    </row>
    <row r="38" spans="1:14" x14ac:dyDescent="0.3">
      <c r="A38" s="104"/>
      <c r="C38" s="59"/>
      <c r="D38" s="3" t="s">
        <v>36</v>
      </c>
      <c r="E38" s="4">
        <v>672</v>
      </c>
      <c r="F38" s="4">
        <v>513</v>
      </c>
      <c r="G38" s="4">
        <v>510</v>
      </c>
      <c r="H38" s="4">
        <v>666</v>
      </c>
      <c r="I38" s="59"/>
    </row>
    <row r="39" spans="1:14" x14ac:dyDescent="0.3">
      <c r="A39" s="104"/>
      <c r="C39" s="59"/>
      <c r="D39" s="60"/>
      <c r="E39" s="59"/>
      <c r="F39" s="59"/>
      <c r="G39" s="59"/>
      <c r="H39" s="59"/>
      <c r="I39" s="59"/>
    </row>
    <row r="40" spans="1:14" x14ac:dyDescent="0.3">
      <c r="A40" s="104"/>
      <c r="C40" s="59"/>
      <c r="D40" s="59"/>
      <c r="E40" s="18" t="s">
        <v>56</v>
      </c>
      <c r="F40" s="18" t="s">
        <v>57</v>
      </c>
      <c r="G40" s="18" t="s">
        <v>58</v>
      </c>
      <c r="H40" s="18" t="s">
        <v>95</v>
      </c>
      <c r="I40" s="59"/>
    </row>
    <row r="41" spans="1:14" x14ac:dyDescent="0.3">
      <c r="A41" s="104"/>
      <c r="C41" s="107" t="s">
        <v>39</v>
      </c>
      <c r="D41" s="17" t="s">
        <v>23</v>
      </c>
      <c r="E41" s="33">
        <v>21.516800000000003</v>
      </c>
      <c r="F41" s="33">
        <v>13.669600000000001</v>
      </c>
      <c r="G41" s="33">
        <v>22.855600000000003</v>
      </c>
      <c r="H41" s="33">
        <v>2.9524000000000008</v>
      </c>
      <c r="I41" s="59"/>
    </row>
    <row r="42" spans="1:14" x14ac:dyDescent="0.3">
      <c r="A42" s="104"/>
      <c r="C42" s="107"/>
      <c r="D42" s="16" t="s">
        <v>24</v>
      </c>
      <c r="E42" s="34">
        <v>15.83</v>
      </c>
      <c r="F42" s="34">
        <v>10.283000000000001</v>
      </c>
      <c r="G42" s="34">
        <v>17.5535</v>
      </c>
      <c r="H42" s="34">
        <v>1.895</v>
      </c>
      <c r="I42" s="59"/>
    </row>
    <row r="43" spans="1:14" s="25" customFormat="1" ht="18" customHeight="1" x14ac:dyDescent="0.3">
      <c r="A43" s="104"/>
      <c r="C43" s="107"/>
      <c r="D43" s="35" t="s">
        <v>26</v>
      </c>
      <c r="E43" s="36">
        <v>12.042999999999999</v>
      </c>
      <c r="F43" s="36">
        <v>8.1110000000000007</v>
      </c>
      <c r="G43" s="36">
        <v>13.666499999999999</v>
      </c>
      <c r="H43" s="36">
        <v>1.1839999999999999</v>
      </c>
      <c r="I43" s="64"/>
      <c r="J43"/>
      <c r="K43"/>
      <c r="L43"/>
      <c r="M43"/>
      <c r="N43"/>
    </row>
    <row r="44" spans="1:14" x14ac:dyDescent="0.3">
      <c r="A44" s="104"/>
      <c r="C44" s="107"/>
      <c r="D44" s="16" t="s">
        <v>27</v>
      </c>
      <c r="E44" s="34">
        <v>8.8712499999999999</v>
      </c>
      <c r="F44" s="34">
        <v>5.6709999999999994</v>
      </c>
      <c r="G44" s="34">
        <v>10.4095</v>
      </c>
      <c r="H44" s="34">
        <v>0.67600000000000005</v>
      </c>
      <c r="I44" s="59"/>
    </row>
    <row r="45" spans="1:14" x14ac:dyDescent="0.3">
      <c r="A45" s="104"/>
      <c r="C45" s="107"/>
      <c r="D45" s="17" t="s">
        <v>28</v>
      </c>
      <c r="E45" s="33">
        <v>6.5869999999999997</v>
      </c>
      <c r="F45" s="33">
        <v>3.8846000000000003</v>
      </c>
      <c r="G45" s="33">
        <v>7.6954000000000002</v>
      </c>
      <c r="H45" s="33">
        <v>0.36019999999999996</v>
      </c>
      <c r="I45" s="59"/>
    </row>
    <row r="46" spans="1:14" x14ac:dyDescent="0.3">
      <c r="A46" s="104"/>
      <c r="C46" s="59"/>
      <c r="D46" s="60"/>
      <c r="E46" s="59"/>
      <c r="F46" s="59"/>
      <c r="G46" s="59"/>
      <c r="H46" s="59"/>
      <c r="I46" s="59"/>
    </row>
    <row r="47" spans="1:14" x14ac:dyDescent="0.3">
      <c r="A47" s="104"/>
      <c r="C47" s="59"/>
      <c r="D47" s="59"/>
      <c r="E47" s="18" t="s">
        <v>56</v>
      </c>
      <c r="F47" s="18" t="s">
        <v>57</v>
      </c>
      <c r="G47" s="18" t="s">
        <v>58</v>
      </c>
      <c r="H47" s="18" t="s">
        <v>95</v>
      </c>
      <c r="I47" s="59"/>
    </row>
    <row r="48" spans="1:14" x14ac:dyDescent="0.3">
      <c r="A48" s="104"/>
      <c r="C48" s="108" t="s">
        <v>40</v>
      </c>
      <c r="D48" s="7" t="s">
        <v>23</v>
      </c>
      <c r="E48" s="8">
        <v>101.66330000000001</v>
      </c>
      <c r="F48" s="8">
        <v>56.871000000000002</v>
      </c>
      <c r="G48" s="8">
        <v>106.29360000000001</v>
      </c>
      <c r="H48" s="8">
        <v>12.687700000000005</v>
      </c>
      <c r="I48" s="59"/>
    </row>
    <row r="49" spans="1:11" x14ac:dyDescent="0.3">
      <c r="A49" s="104"/>
      <c r="C49" s="108"/>
      <c r="D49" s="5" t="s">
        <v>24</v>
      </c>
      <c r="E49" s="9">
        <v>73.868249999999989</v>
      </c>
      <c r="F49" s="9">
        <v>48.652999999999999</v>
      </c>
      <c r="G49" s="9">
        <v>86.144750000000002</v>
      </c>
      <c r="H49" s="9">
        <v>8.4357499999999987</v>
      </c>
      <c r="I49" s="59"/>
    </row>
    <row r="50" spans="1:11" x14ac:dyDescent="0.3">
      <c r="A50" s="104"/>
      <c r="C50" s="108"/>
      <c r="D50" s="7" t="s">
        <v>26</v>
      </c>
      <c r="E50" s="10">
        <v>55.228999999999999</v>
      </c>
      <c r="F50" s="10">
        <v>38.087000000000003</v>
      </c>
      <c r="G50" s="10">
        <v>72.102999999999994</v>
      </c>
      <c r="H50" s="10">
        <v>5.7115</v>
      </c>
      <c r="I50" s="59"/>
    </row>
    <row r="51" spans="1:11" x14ac:dyDescent="0.3">
      <c r="A51" s="104"/>
      <c r="C51" s="108"/>
      <c r="D51" s="5" t="s">
        <v>27</v>
      </c>
      <c r="E51" s="9">
        <v>41.972500000000004</v>
      </c>
      <c r="F51" s="9">
        <v>29.444000000000003</v>
      </c>
      <c r="G51" s="9">
        <v>58.89575</v>
      </c>
      <c r="H51" s="9">
        <v>3.4697500000000003</v>
      </c>
      <c r="I51" s="59"/>
    </row>
    <row r="52" spans="1:11" x14ac:dyDescent="0.3">
      <c r="A52" s="104"/>
      <c r="C52" s="108"/>
      <c r="D52" s="7" t="s">
        <v>28</v>
      </c>
      <c r="E52" s="8">
        <v>33.267000000000003</v>
      </c>
      <c r="F52" s="8">
        <v>21.957799999999999</v>
      </c>
      <c r="G52" s="8">
        <v>48.651600000000002</v>
      </c>
      <c r="H52" s="8">
        <v>1.8661000000000001</v>
      </c>
      <c r="I52" s="59"/>
    </row>
    <row r="53" spans="1:11" x14ac:dyDescent="0.3">
      <c r="A53" s="104"/>
      <c r="C53" s="59"/>
      <c r="D53" s="60"/>
      <c r="E53" s="59"/>
      <c r="F53" s="59"/>
      <c r="G53" s="59"/>
      <c r="H53" s="59"/>
      <c r="I53" s="59"/>
    </row>
    <row r="54" spans="1:11" x14ac:dyDescent="0.3">
      <c r="A54" s="104"/>
      <c r="C54" s="59"/>
      <c r="D54" s="60"/>
      <c r="E54" s="59"/>
      <c r="F54" s="59"/>
      <c r="G54" s="59"/>
      <c r="H54" s="59"/>
      <c r="I54" s="59"/>
      <c r="J54" s="59"/>
      <c r="K54" s="59"/>
    </row>
    <row r="55" spans="1:11" ht="18" x14ac:dyDescent="0.35">
      <c r="A55" s="104"/>
      <c r="C55" s="81" t="str">
        <f>D7</f>
        <v>Déchets en déchèterie - Charges de traitement selon les flux</v>
      </c>
      <c r="D55" s="81"/>
      <c r="E55" s="81"/>
      <c r="F55" s="81"/>
      <c r="G55" s="81"/>
      <c r="H55" s="81"/>
      <c r="I55" s="81"/>
      <c r="J55" s="59"/>
      <c r="K55" s="59"/>
    </row>
    <row r="56" spans="1:11" x14ac:dyDescent="0.3">
      <c r="A56" s="104"/>
      <c r="C56" s="106" t="s">
        <v>35</v>
      </c>
      <c r="D56" s="106"/>
      <c r="E56" s="59"/>
      <c r="F56" s="59"/>
      <c r="G56" s="59"/>
      <c r="H56" s="59"/>
      <c r="I56" s="59"/>
      <c r="J56" s="59"/>
      <c r="K56" s="59"/>
    </row>
    <row r="57" spans="1:11" ht="27.6" x14ac:dyDescent="0.3">
      <c r="A57" s="104"/>
      <c r="C57" s="59"/>
      <c r="D57" s="59"/>
      <c r="E57" s="18" t="s">
        <v>132</v>
      </c>
      <c r="F57" s="18" t="s">
        <v>133</v>
      </c>
      <c r="G57" s="18" t="s">
        <v>134</v>
      </c>
      <c r="H57" s="18" t="s">
        <v>135</v>
      </c>
      <c r="I57" s="18" t="s">
        <v>136</v>
      </c>
    </row>
    <row r="58" spans="1:11" x14ac:dyDescent="0.3">
      <c r="A58" s="104"/>
      <c r="C58" s="59"/>
      <c r="D58" s="3" t="s">
        <v>36</v>
      </c>
      <c r="E58" s="4">
        <v>249</v>
      </c>
      <c r="F58" s="4">
        <v>5</v>
      </c>
      <c r="G58" s="4">
        <v>181</v>
      </c>
      <c r="H58" s="4">
        <v>71</v>
      </c>
      <c r="I58" s="4">
        <v>207</v>
      </c>
    </row>
    <row r="59" spans="1:11" x14ac:dyDescent="0.3">
      <c r="A59" s="104"/>
      <c r="C59" s="59"/>
      <c r="D59" s="60"/>
      <c r="E59" s="59"/>
      <c r="F59" s="59"/>
      <c r="G59" s="59"/>
      <c r="H59" s="59"/>
      <c r="I59" s="59"/>
    </row>
    <row r="60" spans="1:11" ht="27.6" x14ac:dyDescent="0.3">
      <c r="A60" s="104"/>
      <c r="C60" s="59"/>
      <c r="D60" s="59"/>
      <c r="E60" s="18" t="s">
        <v>132</v>
      </c>
      <c r="F60" s="18" t="s">
        <v>133</v>
      </c>
      <c r="G60" s="18" t="s">
        <v>134</v>
      </c>
      <c r="H60" s="18" t="s">
        <v>135</v>
      </c>
      <c r="I60" s="18" t="s">
        <v>136</v>
      </c>
    </row>
    <row r="61" spans="1:11" x14ac:dyDescent="0.3">
      <c r="A61" s="104"/>
      <c r="C61" s="108" t="s">
        <v>40</v>
      </c>
      <c r="D61" s="7" t="s">
        <v>23</v>
      </c>
      <c r="E61" s="8">
        <v>62.279599116697803</v>
      </c>
      <c r="F61" s="8"/>
      <c r="G61" s="8">
        <v>199.45607042069133</v>
      </c>
      <c r="H61" s="8">
        <v>184.92674860989169</v>
      </c>
      <c r="I61" s="8">
        <v>17.682725152873569</v>
      </c>
    </row>
    <row r="62" spans="1:11" x14ac:dyDescent="0.3">
      <c r="A62" s="104"/>
      <c r="C62" s="108"/>
      <c r="D62" s="5" t="s">
        <v>24</v>
      </c>
      <c r="E62" s="9">
        <v>48.394644119038837</v>
      </c>
      <c r="F62" s="9">
        <v>43.986294788942871</v>
      </c>
      <c r="G62" s="9">
        <v>172.90727880593283</v>
      </c>
      <c r="H62" s="9">
        <v>148.38248248116642</v>
      </c>
      <c r="I62" s="9">
        <v>11.74655297532656</v>
      </c>
    </row>
    <row r="63" spans="1:11" x14ac:dyDescent="0.3">
      <c r="A63" s="104"/>
      <c r="C63" s="108"/>
      <c r="D63" s="7" t="s">
        <v>26</v>
      </c>
      <c r="E63" s="10">
        <v>32.745800005666098</v>
      </c>
      <c r="F63" s="10">
        <v>42.879539787176263</v>
      </c>
      <c r="G63" s="10">
        <v>153.51072017592082</v>
      </c>
      <c r="H63" s="10">
        <v>111.11310350183976</v>
      </c>
      <c r="I63" s="10">
        <v>8.1658554044380818</v>
      </c>
    </row>
    <row r="64" spans="1:11" x14ac:dyDescent="0.3">
      <c r="A64" s="104"/>
      <c r="C64" s="108"/>
      <c r="D64" s="5" t="s">
        <v>27</v>
      </c>
      <c r="E64" s="9">
        <v>23.207856922746608</v>
      </c>
      <c r="F64" s="9">
        <v>26.352859072451089</v>
      </c>
      <c r="G64" s="9">
        <v>132.57887381411359</v>
      </c>
      <c r="H64" s="9">
        <v>77.871535580524352</v>
      </c>
      <c r="I64" s="9">
        <v>4.5578991596638652</v>
      </c>
    </row>
    <row r="65" spans="1:11" x14ac:dyDescent="0.3">
      <c r="A65" s="104"/>
      <c r="C65" s="108"/>
      <c r="D65" s="7" t="s">
        <v>28</v>
      </c>
      <c r="E65" s="8">
        <v>16.997055132317872</v>
      </c>
      <c r="F65" s="8"/>
      <c r="G65" s="8">
        <v>98.654363649943548</v>
      </c>
      <c r="H65" s="8">
        <v>63.621164899876604</v>
      </c>
      <c r="I65" s="8">
        <v>2.1999826503972209</v>
      </c>
    </row>
    <row r="66" spans="1:11" x14ac:dyDescent="0.3">
      <c r="A66" s="104"/>
      <c r="C66" s="59"/>
      <c r="D66" s="60"/>
      <c r="E66" s="59"/>
      <c r="F66" s="59"/>
      <c r="G66" s="59"/>
      <c r="H66" s="59"/>
      <c r="I66" s="59"/>
    </row>
    <row r="67" spans="1:11" x14ac:dyDescent="0.3">
      <c r="A67" s="104"/>
      <c r="C67" s="59"/>
      <c r="D67" s="60"/>
      <c r="E67" s="59"/>
      <c r="F67" s="59"/>
      <c r="G67" s="59"/>
      <c r="H67" s="59"/>
      <c r="I67" s="59"/>
      <c r="J67" s="59"/>
      <c r="K67" s="59"/>
    </row>
    <row r="68" spans="1:11" ht="18" x14ac:dyDescent="0.35">
      <c r="A68" s="104"/>
      <c r="C68" s="81" t="str">
        <f>D8</f>
        <v>Déchets en déchèterie - Produits par nature</v>
      </c>
      <c r="D68" s="81"/>
      <c r="E68" s="81"/>
      <c r="F68" s="81"/>
      <c r="G68" s="81"/>
      <c r="H68" s="59"/>
      <c r="I68" s="59"/>
      <c r="J68" s="59"/>
      <c r="K68" s="59"/>
    </row>
    <row r="69" spans="1:11" x14ac:dyDescent="0.3">
      <c r="A69" s="104"/>
      <c r="C69" s="106" t="s">
        <v>35</v>
      </c>
      <c r="D69" s="106"/>
      <c r="E69" s="59"/>
      <c r="F69" s="59"/>
      <c r="G69" s="59"/>
      <c r="H69" s="59"/>
      <c r="I69" s="59"/>
      <c r="J69" s="59"/>
      <c r="K69" s="59"/>
    </row>
    <row r="70" spans="1:11" x14ac:dyDescent="0.3">
      <c r="A70" s="104"/>
      <c r="C70" s="59"/>
      <c r="D70" s="59"/>
      <c r="E70" s="18" t="s">
        <v>59</v>
      </c>
      <c r="F70" s="18" t="s">
        <v>60</v>
      </c>
      <c r="G70" s="18" t="s">
        <v>61</v>
      </c>
      <c r="H70" s="59"/>
      <c r="I70" s="59"/>
      <c r="J70" s="59"/>
      <c r="K70" s="59"/>
    </row>
    <row r="71" spans="1:11" x14ac:dyDescent="0.3">
      <c r="A71" s="104"/>
      <c r="D71" s="3" t="s">
        <v>36</v>
      </c>
      <c r="E71" s="4">
        <v>655</v>
      </c>
      <c r="F71" s="4">
        <v>682</v>
      </c>
      <c r="G71" s="4">
        <v>724</v>
      </c>
      <c r="H71" s="59"/>
      <c r="I71" s="59"/>
      <c r="J71" s="59"/>
      <c r="K71" s="59"/>
    </row>
    <row r="72" spans="1:11" x14ac:dyDescent="0.3">
      <c r="A72" s="104"/>
      <c r="C72" s="59"/>
      <c r="D72" s="60"/>
      <c r="E72" s="59"/>
      <c r="F72" s="59"/>
      <c r="G72" s="59"/>
      <c r="H72" s="59"/>
      <c r="I72" s="59"/>
      <c r="J72" s="59"/>
      <c r="K72" s="59"/>
    </row>
    <row r="73" spans="1:11" x14ac:dyDescent="0.3">
      <c r="A73" s="104"/>
      <c r="C73" s="59"/>
      <c r="D73" s="59"/>
      <c r="E73" s="18" t="s">
        <v>59</v>
      </c>
      <c r="F73" s="18" t="s">
        <v>60</v>
      </c>
      <c r="G73" s="18" t="s">
        <v>61</v>
      </c>
      <c r="H73" s="59"/>
      <c r="I73" s="59"/>
      <c r="J73" s="59"/>
      <c r="K73" s="59"/>
    </row>
    <row r="74" spans="1:11" x14ac:dyDescent="0.3">
      <c r="A74" s="104"/>
      <c r="C74" s="107" t="s">
        <v>39</v>
      </c>
      <c r="D74" s="16" t="s">
        <v>23</v>
      </c>
      <c r="E74" s="28">
        <v>4.67</v>
      </c>
      <c r="F74" s="28">
        <v>3.29</v>
      </c>
      <c r="G74" s="28">
        <v>1.7</v>
      </c>
      <c r="H74" s="59"/>
      <c r="I74" s="59"/>
      <c r="J74" s="59"/>
      <c r="K74" s="59"/>
    </row>
    <row r="75" spans="1:11" x14ac:dyDescent="0.3">
      <c r="A75" s="104"/>
      <c r="C75" s="107"/>
      <c r="D75" s="17" t="s">
        <v>24</v>
      </c>
      <c r="E75" s="33">
        <v>3.08</v>
      </c>
      <c r="F75" s="33">
        <v>2.36</v>
      </c>
      <c r="G75" s="33">
        <v>0.76</v>
      </c>
      <c r="H75" s="59"/>
      <c r="I75" s="59"/>
      <c r="J75" s="59"/>
      <c r="K75" s="59"/>
    </row>
    <row r="76" spans="1:11" ht="17.399999999999999" customHeight="1" x14ac:dyDescent="0.3">
      <c r="A76" s="104"/>
      <c r="C76" s="107"/>
      <c r="D76" s="16" t="s">
        <v>26</v>
      </c>
      <c r="E76" s="34">
        <v>2.09</v>
      </c>
      <c r="F76" s="34">
        <v>1.58</v>
      </c>
      <c r="G76" s="34">
        <v>0.17</v>
      </c>
      <c r="H76" s="59"/>
      <c r="I76" s="59"/>
      <c r="J76" s="59"/>
      <c r="K76" s="59"/>
    </row>
    <row r="77" spans="1:11" x14ac:dyDescent="0.3">
      <c r="A77" s="104"/>
      <c r="C77" s="107"/>
      <c r="D77" s="17" t="s">
        <v>27</v>
      </c>
      <c r="E77" s="36">
        <v>1.38</v>
      </c>
      <c r="F77" s="36">
        <v>1.1599999999999999</v>
      </c>
      <c r="G77" s="36">
        <v>0</v>
      </c>
      <c r="H77" s="59"/>
      <c r="I77" s="59"/>
      <c r="J77" s="59"/>
      <c r="K77" s="59"/>
    </row>
    <row r="78" spans="1:11" x14ac:dyDescent="0.3">
      <c r="A78" s="104"/>
      <c r="C78" s="107"/>
      <c r="D78" s="16" t="s">
        <v>28</v>
      </c>
      <c r="E78" s="34">
        <v>0.89</v>
      </c>
      <c r="F78" s="34">
        <v>0.76</v>
      </c>
      <c r="G78" s="34">
        <v>0</v>
      </c>
      <c r="H78" s="59"/>
      <c r="I78" s="59"/>
      <c r="J78" s="59"/>
      <c r="K78" s="59"/>
    </row>
    <row r="79" spans="1:11" x14ac:dyDescent="0.3">
      <c r="A79" s="104"/>
      <c r="C79" s="59"/>
      <c r="D79" s="60"/>
      <c r="E79" s="59"/>
      <c r="F79" s="59"/>
      <c r="G79" s="59"/>
      <c r="H79" s="59"/>
      <c r="I79" s="59"/>
      <c r="J79" s="59"/>
      <c r="K79" s="59"/>
    </row>
    <row r="80" spans="1:11" x14ac:dyDescent="0.3">
      <c r="A80" s="104"/>
      <c r="C80" s="59"/>
      <c r="D80" s="59"/>
      <c r="E80" s="18" t="s">
        <v>59</v>
      </c>
      <c r="F80" s="18" t="s">
        <v>60</v>
      </c>
      <c r="G80" s="18" t="s">
        <v>61</v>
      </c>
      <c r="H80" s="59"/>
      <c r="I80" s="59"/>
      <c r="J80" s="59"/>
      <c r="K80" s="59"/>
    </row>
    <row r="81" spans="1:23" x14ac:dyDescent="0.3">
      <c r="A81" s="104"/>
      <c r="C81" s="108" t="s">
        <v>40</v>
      </c>
      <c r="D81" s="5" t="s">
        <v>23</v>
      </c>
      <c r="E81" s="6">
        <v>19.89</v>
      </c>
      <c r="F81" s="6">
        <v>16.36</v>
      </c>
      <c r="G81" s="6">
        <v>7.57</v>
      </c>
      <c r="H81" s="59"/>
      <c r="I81" s="59"/>
      <c r="J81" s="59"/>
      <c r="K81" s="59"/>
    </row>
    <row r="82" spans="1:23" x14ac:dyDescent="0.3">
      <c r="A82" s="104"/>
      <c r="C82" s="108"/>
      <c r="D82" s="7" t="s">
        <v>24</v>
      </c>
      <c r="E82" s="8">
        <v>14.6</v>
      </c>
      <c r="F82" s="8">
        <v>11.47</v>
      </c>
      <c r="G82" s="8">
        <v>3.41</v>
      </c>
      <c r="H82" s="59"/>
      <c r="I82" s="59"/>
      <c r="J82" s="59"/>
      <c r="K82" s="59"/>
    </row>
    <row r="83" spans="1:23" x14ac:dyDescent="0.3">
      <c r="A83" s="104"/>
      <c r="C83" s="108"/>
      <c r="D83" s="5" t="s">
        <v>26</v>
      </c>
      <c r="E83" s="9">
        <v>9.94</v>
      </c>
      <c r="F83" s="9">
        <v>7.58</v>
      </c>
      <c r="G83" s="9">
        <v>0.92</v>
      </c>
      <c r="H83" s="59"/>
      <c r="I83" s="59"/>
      <c r="J83" s="59"/>
      <c r="K83" s="59"/>
    </row>
    <row r="84" spans="1:23" x14ac:dyDescent="0.3">
      <c r="A84" s="104"/>
      <c r="C84" s="108"/>
      <c r="D84" s="7" t="s">
        <v>27</v>
      </c>
      <c r="E84" s="10">
        <v>7.02</v>
      </c>
      <c r="F84" s="10">
        <v>5.41</v>
      </c>
      <c r="G84" s="10">
        <v>0</v>
      </c>
      <c r="H84" s="59"/>
      <c r="I84" s="59"/>
      <c r="J84" s="59"/>
      <c r="K84" s="59"/>
    </row>
    <row r="85" spans="1:23" x14ac:dyDescent="0.3">
      <c r="A85" s="104"/>
      <c r="C85" s="108"/>
      <c r="D85" s="5" t="s">
        <v>28</v>
      </c>
      <c r="E85" s="9">
        <v>4.57</v>
      </c>
      <c r="F85" s="9">
        <v>3.46</v>
      </c>
      <c r="G85" s="9">
        <v>0</v>
      </c>
      <c r="H85" s="59"/>
      <c r="I85" s="59"/>
      <c r="J85" s="59"/>
      <c r="K85" s="59"/>
    </row>
    <row r="86" spans="1:23" x14ac:dyDescent="0.3">
      <c r="A86" s="104"/>
      <c r="C86" s="59"/>
      <c r="D86" s="60"/>
      <c r="E86" s="59"/>
      <c r="F86" s="59"/>
      <c r="G86" s="59"/>
      <c r="H86" s="59"/>
      <c r="I86" s="59"/>
      <c r="J86" s="59"/>
      <c r="K86" s="59"/>
    </row>
    <row r="87" spans="1:23" x14ac:dyDescent="0.3">
      <c r="A87" s="104"/>
      <c r="C87" s="59"/>
      <c r="D87" s="60"/>
      <c r="E87" s="59"/>
      <c r="F87" s="59"/>
      <c r="G87" s="59"/>
      <c r="H87" s="59"/>
      <c r="I87" s="59"/>
      <c r="J87" s="59"/>
      <c r="K87" s="59"/>
    </row>
    <row r="88" spans="1:23" ht="18" x14ac:dyDescent="0.35">
      <c r="A88" s="104"/>
      <c r="C88" s="81" t="str">
        <f>D9</f>
        <v>Déchets en déchèterie - Évolution du coût aidé HT</v>
      </c>
      <c r="D88" s="81"/>
      <c r="E88" s="81"/>
      <c r="F88" s="81"/>
      <c r="G88" s="81"/>
      <c r="H88" s="81"/>
      <c r="I88" s="81"/>
      <c r="J88" s="81"/>
      <c r="K88" s="81"/>
      <c r="L88" s="81"/>
      <c r="M88" s="81"/>
    </row>
    <row r="89" spans="1:23" x14ac:dyDescent="0.3">
      <c r="A89" s="104"/>
      <c r="C89" s="106" t="s">
        <v>35</v>
      </c>
      <c r="D89" s="106"/>
      <c r="E89" s="59"/>
      <c r="F89" s="59"/>
      <c r="G89" s="59"/>
      <c r="H89" s="59"/>
      <c r="I89" s="59"/>
      <c r="J89" s="59"/>
      <c r="K89" s="59"/>
    </row>
    <row r="90" spans="1:23" x14ac:dyDescent="0.3">
      <c r="A90" s="104"/>
      <c r="C90" s="59"/>
      <c r="D90" s="59"/>
      <c r="E90" s="2">
        <v>2010</v>
      </c>
      <c r="F90" s="2">
        <v>2012</v>
      </c>
      <c r="G90" s="2">
        <v>2014</v>
      </c>
      <c r="H90" s="2">
        <v>2016</v>
      </c>
      <c r="I90" s="2">
        <v>2018</v>
      </c>
      <c r="J90" s="2">
        <v>2019</v>
      </c>
      <c r="K90" s="2">
        <v>2020</v>
      </c>
      <c r="L90" s="2">
        <v>2022</v>
      </c>
      <c r="M90" s="2">
        <v>2023</v>
      </c>
    </row>
    <row r="91" spans="1:23" x14ac:dyDescent="0.3">
      <c r="A91" s="104"/>
      <c r="C91" s="59"/>
      <c r="D91" s="3" t="s">
        <v>36</v>
      </c>
      <c r="E91" s="13">
        <v>177</v>
      </c>
      <c r="F91" s="13">
        <v>358</v>
      </c>
      <c r="G91" s="13">
        <v>382</v>
      </c>
      <c r="H91" s="12">
        <v>351</v>
      </c>
      <c r="I91" s="12">
        <v>352</v>
      </c>
      <c r="J91" s="12">
        <v>597</v>
      </c>
      <c r="K91" s="12">
        <v>463</v>
      </c>
      <c r="L91" s="12">
        <v>648</v>
      </c>
      <c r="M91" s="12">
        <v>597</v>
      </c>
    </row>
    <row r="92" spans="1:23" x14ac:dyDescent="0.3">
      <c r="A92" s="104"/>
      <c r="C92" s="59"/>
      <c r="D92" s="60"/>
      <c r="E92" s="59"/>
      <c r="F92" s="59"/>
      <c r="G92" s="59"/>
      <c r="H92" s="59"/>
      <c r="I92" s="59"/>
      <c r="J92" s="59"/>
      <c r="K92" s="59"/>
      <c r="L92" s="59"/>
      <c r="M92" s="59"/>
    </row>
    <row r="93" spans="1:23" x14ac:dyDescent="0.3">
      <c r="A93" s="104"/>
      <c r="C93" s="59"/>
      <c r="D93" s="59"/>
      <c r="E93" s="2">
        <v>2010</v>
      </c>
      <c r="F93" s="2">
        <v>2012</v>
      </c>
      <c r="G93" s="2">
        <v>2014</v>
      </c>
      <c r="H93" s="2">
        <v>2016</v>
      </c>
      <c r="I93" s="2">
        <v>2018</v>
      </c>
      <c r="J93" s="2">
        <v>2019</v>
      </c>
      <c r="K93" s="2">
        <v>2020</v>
      </c>
      <c r="L93" s="2">
        <v>2022</v>
      </c>
      <c r="M93" s="2">
        <v>2023</v>
      </c>
    </row>
    <row r="94" spans="1:23" ht="15" customHeight="1" x14ac:dyDescent="0.3">
      <c r="A94" s="104"/>
      <c r="C94" s="107" t="s">
        <v>39</v>
      </c>
      <c r="D94" s="16" t="s">
        <v>23</v>
      </c>
      <c r="E94" s="28">
        <v>29.754860000000004</v>
      </c>
      <c r="F94" s="28">
        <v>34.706630000000004</v>
      </c>
      <c r="G94" s="28">
        <v>34.820850000000036</v>
      </c>
      <c r="H94" s="28">
        <v>35.299999999999997</v>
      </c>
      <c r="I94" s="28">
        <v>38.069819999999993</v>
      </c>
      <c r="J94" s="28">
        <v>41.655500000000004</v>
      </c>
      <c r="K94" s="28">
        <v>41.420520000000003</v>
      </c>
      <c r="L94" s="28">
        <v>50.378100000000003</v>
      </c>
      <c r="M94" s="28">
        <v>54.514400000000002</v>
      </c>
    </row>
    <row r="95" spans="1:23" x14ac:dyDescent="0.3">
      <c r="A95" s="104"/>
      <c r="C95" s="107"/>
      <c r="D95" s="17" t="s">
        <v>24</v>
      </c>
      <c r="E95" s="33">
        <v>23.672499999999999</v>
      </c>
      <c r="F95" s="33">
        <v>26.590250000000001</v>
      </c>
      <c r="G95" s="33">
        <v>27.901</v>
      </c>
      <c r="H95" s="33">
        <v>29</v>
      </c>
      <c r="I95" s="33">
        <v>29.832875000000001</v>
      </c>
      <c r="J95" s="33">
        <v>33.686399999999999</v>
      </c>
      <c r="K95" s="33">
        <v>33.551299999999998</v>
      </c>
      <c r="L95" s="33">
        <v>40.636000000000003</v>
      </c>
      <c r="M95" s="33">
        <v>43.725999999999999</v>
      </c>
    </row>
    <row r="96" spans="1:23" s="25" customFormat="1" ht="18" customHeight="1" x14ac:dyDescent="0.3">
      <c r="A96" s="104"/>
      <c r="C96" s="107"/>
      <c r="D96" s="31" t="s">
        <v>25</v>
      </c>
      <c r="E96" s="28">
        <v>18.308058181678522</v>
      </c>
      <c r="F96" s="28">
        <v>19.406839694085132</v>
      </c>
      <c r="G96" s="28">
        <v>19.668467562277357</v>
      </c>
      <c r="H96" s="28">
        <v>20.7</v>
      </c>
      <c r="I96" s="28">
        <v>22.395743241288738</v>
      </c>
      <c r="J96" s="28">
        <v>24.838475994803197</v>
      </c>
      <c r="K96" s="28">
        <v>24.786079442109539</v>
      </c>
      <c r="L96" s="28">
        <v>27.915409663914055</v>
      </c>
      <c r="M96" s="28">
        <v>31.041736738742877</v>
      </c>
      <c r="N96"/>
      <c r="O96"/>
      <c r="P96"/>
      <c r="Q96"/>
      <c r="R96"/>
      <c r="S96"/>
      <c r="T96"/>
      <c r="U96"/>
      <c r="V96"/>
      <c r="W96"/>
    </row>
    <row r="97" spans="1:13" x14ac:dyDescent="0.3">
      <c r="A97" s="104"/>
      <c r="C97" s="107"/>
      <c r="D97" s="17" t="s">
        <v>27</v>
      </c>
      <c r="E97" s="33">
        <v>15.2567</v>
      </c>
      <c r="F97" s="33">
        <v>16.763400000000001</v>
      </c>
      <c r="G97" s="33">
        <v>18.660924999999999</v>
      </c>
      <c r="H97" s="33">
        <v>19</v>
      </c>
      <c r="I97" s="33">
        <v>19.750824999999999</v>
      </c>
      <c r="J97" s="33">
        <v>22.171900000000001</v>
      </c>
      <c r="K97" s="33">
        <v>22.497299999999999</v>
      </c>
      <c r="L97" s="33">
        <v>26.567499999999999</v>
      </c>
      <c r="M97" s="33">
        <v>28.810000000000002</v>
      </c>
    </row>
    <row r="98" spans="1:13" x14ac:dyDescent="0.3">
      <c r="A98" s="104"/>
      <c r="C98" s="107"/>
      <c r="D98" s="16" t="s">
        <v>28</v>
      </c>
      <c r="E98" s="34">
        <v>12.303879999999999</v>
      </c>
      <c r="F98" s="34">
        <v>13.644540000000001</v>
      </c>
      <c r="G98" s="34">
        <v>14.023200000000001</v>
      </c>
      <c r="H98" s="34">
        <v>13.7</v>
      </c>
      <c r="I98" s="34">
        <v>15.39588</v>
      </c>
      <c r="J98" s="34">
        <v>17.616900000000001</v>
      </c>
      <c r="K98" s="34">
        <v>17.686600000000002</v>
      </c>
      <c r="L98" s="34">
        <v>20.61</v>
      </c>
      <c r="M98" s="34">
        <v>23.4938</v>
      </c>
    </row>
    <row r="99" spans="1:13" x14ac:dyDescent="0.3">
      <c r="A99" s="104"/>
      <c r="C99" s="59"/>
      <c r="D99" s="60"/>
      <c r="E99" s="59"/>
      <c r="F99" s="59"/>
      <c r="G99" s="59"/>
      <c r="H99" s="59"/>
      <c r="I99" s="61"/>
      <c r="J99" s="61"/>
      <c r="K99" s="61"/>
      <c r="L99" s="61"/>
      <c r="M99" s="61"/>
    </row>
    <row r="100" spans="1:13" x14ac:dyDescent="0.3">
      <c r="A100" s="104"/>
      <c r="C100" s="59"/>
      <c r="D100" s="59"/>
      <c r="E100" s="2">
        <v>2010</v>
      </c>
      <c r="F100" s="2">
        <v>2012</v>
      </c>
      <c r="G100" s="2">
        <v>2014</v>
      </c>
      <c r="H100" s="2">
        <v>2016</v>
      </c>
      <c r="I100" s="2">
        <v>2018</v>
      </c>
      <c r="J100" s="2">
        <v>2019</v>
      </c>
      <c r="K100" s="2">
        <v>2020</v>
      </c>
      <c r="L100" s="2">
        <v>2022</v>
      </c>
      <c r="M100" s="2">
        <v>2023</v>
      </c>
    </row>
    <row r="101" spans="1:13" ht="15" customHeight="1" x14ac:dyDescent="0.3">
      <c r="A101" s="104"/>
      <c r="C101" s="108" t="s">
        <v>40</v>
      </c>
      <c r="D101" s="5" t="s">
        <v>23</v>
      </c>
      <c r="E101" s="6">
        <v>173.92118000000011</v>
      </c>
      <c r="F101" s="6">
        <v>180.37451000000001</v>
      </c>
      <c r="G101" s="6">
        <v>168.63995000000003</v>
      </c>
      <c r="H101" s="6">
        <v>160</v>
      </c>
      <c r="I101" s="6">
        <v>170.81324999999998</v>
      </c>
      <c r="J101" s="6">
        <v>184.48670000000001</v>
      </c>
      <c r="K101" s="6">
        <v>197.83382</v>
      </c>
      <c r="L101" s="6">
        <v>215.9239</v>
      </c>
      <c r="M101" s="6">
        <v>224.04580000000004</v>
      </c>
    </row>
    <row r="102" spans="1:13" x14ac:dyDescent="0.3">
      <c r="A102" s="104"/>
      <c r="C102" s="108"/>
      <c r="D102" s="7" t="s">
        <v>24</v>
      </c>
      <c r="E102" s="8">
        <v>139.11779999999999</v>
      </c>
      <c r="F102" s="8">
        <v>149.95717500000001</v>
      </c>
      <c r="G102" s="8">
        <v>144.229175</v>
      </c>
      <c r="H102" s="8">
        <v>132.80000000000001</v>
      </c>
      <c r="I102" s="8">
        <v>143.38527499999998</v>
      </c>
      <c r="J102" s="8">
        <v>153.3639</v>
      </c>
      <c r="K102" s="8">
        <v>160.07650000000001</v>
      </c>
      <c r="L102" s="8">
        <v>181.05350000000001</v>
      </c>
      <c r="M102" s="8">
        <v>196.1515</v>
      </c>
    </row>
    <row r="103" spans="1:13" x14ac:dyDescent="0.3">
      <c r="A103" s="104"/>
      <c r="C103" s="108"/>
      <c r="D103" s="5" t="s">
        <v>25</v>
      </c>
      <c r="E103" s="6">
        <v>113.64943388598499</v>
      </c>
      <c r="F103" s="6">
        <v>118.26503436084225</v>
      </c>
      <c r="G103" s="6">
        <v>113.68653498404211</v>
      </c>
      <c r="H103" s="6">
        <v>112</v>
      </c>
      <c r="I103" s="6">
        <v>120.21892567963945</v>
      </c>
      <c r="J103" s="6">
        <v>128.67515348838583</v>
      </c>
      <c r="K103" s="6">
        <v>136.75097826811509</v>
      </c>
      <c r="L103" s="6">
        <v>155.68803565084622</v>
      </c>
      <c r="M103" s="6">
        <v>170.8922122192015</v>
      </c>
    </row>
    <row r="104" spans="1:13" x14ac:dyDescent="0.3">
      <c r="A104" s="104"/>
      <c r="C104" s="108"/>
      <c r="D104" s="7" t="s">
        <v>27</v>
      </c>
      <c r="E104" s="8">
        <v>87.366500000000002</v>
      </c>
      <c r="F104" s="8">
        <v>95.224400000000003</v>
      </c>
      <c r="G104" s="8">
        <v>94.758650000000003</v>
      </c>
      <c r="H104" s="8">
        <v>93.8</v>
      </c>
      <c r="I104" s="8">
        <v>95.67295</v>
      </c>
      <c r="J104" s="8">
        <v>102.75539999999999</v>
      </c>
      <c r="K104" s="8">
        <v>108.32899999999999</v>
      </c>
      <c r="L104" s="8">
        <v>126.30250000000001</v>
      </c>
      <c r="M104" s="8">
        <v>137.619</v>
      </c>
    </row>
    <row r="105" spans="1:13" x14ac:dyDescent="0.3">
      <c r="A105" s="104"/>
      <c r="C105" s="108"/>
      <c r="D105" s="5" t="s">
        <v>28</v>
      </c>
      <c r="E105" s="9">
        <v>73.445220000000006</v>
      </c>
      <c r="F105" s="9">
        <v>76.226990000000001</v>
      </c>
      <c r="G105" s="9">
        <v>76.723950000000002</v>
      </c>
      <c r="H105" s="9">
        <v>78.3</v>
      </c>
      <c r="I105" s="9">
        <v>79.880939999999995</v>
      </c>
      <c r="J105" s="9">
        <v>84.906199999999998</v>
      </c>
      <c r="K105" s="9">
        <v>92.6036</v>
      </c>
      <c r="L105" s="9">
        <v>103.05529999999999</v>
      </c>
      <c r="M105" s="9">
        <v>113.42739999999999</v>
      </c>
    </row>
    <row r="106" spans="1:13" x14ac:dyDescent="0.3">
      <c r="A106" s="104"/>
      <c r="C106" s="59"/>
      <c r="D106" s="60"/>
      <c r="E106" s="59"/>
      <c r="F106" s="59"/>
      <c r="G106" s="59"/>
      <c r="H106" s="59"/>
      <c r="I106" s="59"/>
      <c r="J106" s="59"/>
      <c r="K106" s="59"/>
    </row>
    <row r="107" spans="1:13" x14ac:dyDescent="0.3">
      <c r="A107" s="104"/>
      <c r="C107" s="59"/>
      <c r="D107" s="60"/>
      <c r="E107" s="59"/>
      <c r="F107" s="59"/>
      <c r="G107" s="59"/>
      <c r="H107" s="59"/>
      <c r="I107" s="59"/>
      <c r="J107" s="59"/>
      <c r="K107" s="59"/>
    </row>
    <row r="108" spans="1:13" ht="18" x14ac:dyDescent="0.35">
      <c r="A108" s="104"/>
      <c r="C108" s="81" t="str">
        <f>D10</f>
        <v>Déchets en déchèterie - Coûts aidés HT et typologie d'habitat</v>
      </c>
      <c r="D108" s="81"/>
      <c r="E108" s="81"/>
      <c r="F108" s="81"/>
      <c r="G108" s="81"/>
      <c r="H108" s="81"/>
      <c r="I108" s="81"/>
      <c r="J108" s="59"/>
      <c r="K108" s="59"/>
    </row>
    <row r="109" spans="1:13" x14ac:dyDescent="0.3">
      <c r="A109" s="104"/>
      <c r="C109" s="106" t="s">
        <v>35</v>
      </c>
      <c r="D109" s="106"/>
      <c r="E109" s="59"/>
      <c r="F109" s="59"/>
      <c r="G109" s="59"/>
      <c r="H109" s="59"/>
      <c r="I109" s="59"/>
      <c r="J109" s="59"/>
      <c r="K109" s="59"/>
    </row>
    <row r="110" spans="1:13" x14ac:dyDescent="0.3">
      <c r="A110" s="104"/>
      <c r="C110" s="59"/>
      <c r="D110" s="59"/>
      <c r="E110" s="2" t="s">
        <v>14</v>
      </c>
      <c r="F110" s="2" t="s">
        <v>15</v>
      </c>
      <c r="G110" s="2" t="s">
        <v>16</v>
      </c>
      <c r="H110" s="2" t="s">
        <v>17</v>
      </c>
      <c r="I110" s="2" t="s">
        <v>18</v>
      </c>
      <c r="J110" s="59"/>
      <c r="K110" s="59"/>
    </row>
    <row r="111" spans="1:13" x14ac:dyDescent="0.3">
      <c r="A111" s="104"/>
      <c r="C111" s="59"/>
      <c r="D111" s="3" t="s">
        <v>36</v>
      </c>
      <c r="E111" s="4">
        <v>215</v>
      </c>
      <c r="F111" s="4">
        <v>191</v>
      </c>
      <c r="G111" s="4">
        <v>67</v>
      </c>
      <c r="H111" s="4">
        <v>62</v>
      </c>
      <c r="I111" s="4">
        <v>62</v>
      </c>
      <c r="J111" s="59"/>
      <c r="K111" s="59"/>
    </row>
    <row r="112" spans="1:13" x14ac:dyDescent="0.3">
      <c r="A112" s="104"/>
      <c r="C112" s="59"/>
      <c r="D112" s="3" t="s">
        <v>42</v>
      </c>
      <c r="E112" s="71">
        <v>233</v>
      </c>
      <c r="F112" s="71">
        <v>224</v>
      </c>
      <c r="G112" s="71">
        <v>194</v>
      </c>
      <c r="H112" s="71">
        <v>132.5</v>
      </c>
      <c r="I112" s="71">
        <v>261.5</v>
      </c>
      <c r="J112" s="59"/>
      <c r="K112" s="59"/>
    </row>
    <row r="113" spans="1:19" x14ac:dyDescent="0.3">
      <c r="A113" s="104"/>
      <c r="C113" s="59"/>
      <c r="D113" s="60"/>
      <c r="E113" s="59"/>
      <c r="F113" s="59"/>
      <c r="G113" s="59"/>
      <c r="H113" s="59"/>
      <c r="I113" s="59"/>
      <c r="J113" s="59"/>
      <c r="K113" s="59"/>
    </row>
    <row r="114" spans="1:19" x14ac:dyDescent="0.3">
      <c r="A114" s="104"/>
      <c r="C114" s="59"/>
      <c r="D114" s="59"/>
      <c r="E114" s="2" t="s">
        <v>14</v>
      </c>
      <c r="F114" s="2" t="s">
        <v>15</v>
      </c>
      <c r="G114" s="2" t="s">
        <v>16</v>
      </c>
      <c r="H114" s="2" t="s">
        <v>17</v>
      </c>
      <c r="I114" s="2" t="s">
        <v>18</v>
      </c>
      <c r="J114" s="59"/>
      <c r="K114" s="59"/>
    </row>
    <row r="115" spans="1:19" x14ac:dyDescent="0.3">
      <c r="A115" s="104"/>
      <c r="C115" s="107" t="s">
        <v>39</v>
      </c>
      <c r="D115" s="17" t="s">
        <v>23</v>
      </c>
      <c r="E115" s="33">
        <v>52.983799999999981</v>
      </c>
      <c r="F115" s="33">
        <v>51.177999999999919</v>
      </c>
      <c r="G115" s="33">
        <v>54.18899999999995</v>
      </c>
      <c r="H115" s="33">
        <v>34.143900000000016</v>
      </c>
      <c r="I115" s="33">
        <v>77.782400000000038</v>
      </c>
      <c r="J115" s="59"/>
      <c r="K115" s="59"/>
    </row>
    <row r="116" spans="1:19" x14ac:dyDescent="0.3">
      <c r="A116" s="104"/>
      <c r="C116" s="107"/>
      <c r="D116" s="16" t="s">
        <v>24</v>
      </c>
      <c r="E116" s="34">
        <v>43.552999999999898</v>
      </c>
      <c r="F116" s="34">
        <v>43.393000000000022</v>
      </c>
      <c r="G116" s="34">
        <v>40.077999999999982</v>
      </c>
      <c r="H116" s="34">
        <v>30.723750000000049</v>
      </c>
      <c r="I116" s="34">
        <v>62.522249999999993</v>
      </c>
      <c r="J116" s="59"/>
      <c r="K116" s="59"/>
    </row>
    <row r="117" spans="1:19" s="25" customFormat="1" ht="17.399999999999999" customHeight="1" x14ac:dyDescent="0.3">
      <c r="A117" s="104"/>
      <c r="C117" s="107"/>
      <c r="D117" s="35" t="s">
        <v>26</v>
      </c>
      <c r="E117" s="36">
        <v>37.069000000000187</v>
      </c>
      <c r="F117" s="36">
        <v>35.478000000000051</v>
      </c>
      <c r="G117" s="36">
        <v>34.464999999999989</v>
      </c>
      <c r="H117" s="36">
        <v>25.954999999999981</v>
      </c>
      <c r="I117" s="36">
        <v>48.878999999999941</v>
      </c>
      <c r="J117" s="64"/>
      <c r="K117" s="59"/>
      <c r="L117"/>
      <c r="M117"/>
      <c r="N117"/>
      <c r="O117"/>
      <c r="P117"/>
      <c r="Q117"/>
      <c r="R117"/>
      <c r="S117"/>
    </row>
    <row r="118" spans="1:19" x14ac:dyDescent="0.3">
      <c r="A118" s="104"/>
      <c r="C118" s="107"/>
      <c r="D118" s="16" t="s">
        <v>27</v>
      </c>
      <c r="E118" s="34">
        <v>32.240999999999993</v>
      </c>
      <c r="F118" s="34">
        <v>29.30400000000007</v>
      </c>
      <c r="G118" s="34">
        <v>25.974999999999973</v>
      </c>
      <c r="H118" s="34">
        <v>18.615000000000006</v>
      </c>
      <c r="I118" s="34">
        <v>39.171250000000022</v>
      </c>
      <c r="J118" s="59"/>
      <c r="K118" s="59"/>
    </row>
    <row r="119" spans="1:19" x14ac:dyDescent="0.3">
      <c r="A119" s="104"/>
      <c r="C119" s="107"/>
      <c r="D119" s="17" t="s">
        <v>28</v>
      </c>
      <c r="E119" s="33">
        <v>27.126400000000082</v>
      </c>
      <c r="F119" s="33">
        <v>24.573</v>
      </c>
      <c r="G119" s="33">
        <v>23.436999999999969</v>
      </c>
      <c r="H119" s="33">
        <v>12.088200000000018</v>
      </c>
      <c r="I119" s="33">
        <v>26.208000000000023</v>
      </c>
      <c r="J119" s="59"/>
      <c r="K119" s="59"/>
    </row>
    <row r="120" spans="1:19" x14ac:dyDescent="0.3">
      <c r="A120" s="104"/>
      <c r="C120" s="59"/>
      <c r="D120" s="60"/>
      <c r="E120" s="59"/>
      <c r="F120" s="59"/>
      <c r="G120" s="59"/>
      <c r="H120" s="59"/>
      <c r="I120" s="59"/>
      <c r="J120" s="59"/>
      <c r="K120" s="59"/>
    </row>
    <row r="121" spans="1:19" x14ac:dyDescent="0.3">
      <c r="A121" s="104"/>
      <c r="C121" s="59"/>
      <c r="D121" s="59"/>
      <c r="E121" s="2" t="s">
        <v>14</v>
      </c>
      <c r="F121" s="2" t="s">
        <v>15</v>
      </c>
      <c r="G121" s="2" t="s">
        <v>16</v>
      </c>
      <c r="H121" s="2" t="s">
        <v>17</v>
      </c>
      <c r="I121" s="2" t="s">
        <v>18</v>
      </c>
      <c r="J121" s="59"/>
      <c r="K121" s="59"/>
    </row>
    <row r="122" spans="1:19" x14ac:dyDescent="0.3">
      <c r="A122" s="104"/>
      <c r="C122" s="108" t="s">
        <v>40</v>
      </c>
      <c r="D122" s="7" t="s">
        <v>23</v>
      </c>
      <c r="E122" s="8">
        <v>218.41919999999914</v>
      </c>
      <c r="F122" s="8">
        <v>222.03779999999892</v>
      </c>
      <c r="G122" s="8">
        <v>215.63600000000028</v>
      </c>
      <c r="H122" s="8">
        <v>238.16059999999973</v>
      </c>
      <c r="I122" s="8">
        <v>256.2765</v>
      </c>
      <c r="J122" s="59"/>
      <c r="K122" s="59"/>
    </row>
    <row r="123" spans="1:19" x14ac:dyDescent="0.3">
      <c r="A123" s="104"/>
      <c r="C123" s="108"/>
      <c r="D123" s="5" t="s">
        <v>24</v>
      </c>
      <c r="E123" s="9">
        <v>186.01499999999959</v>
      </c>
      <c r="F123" s="9">
        <v>192.40299999999922</v>
      </c>
      <c r="G123" s="9">
        <v>200.96600000000021</v>
      </c>
      <c r="H123" s="9">
        <v>212.36375000000029</v>
      </c>
      <c r="I123" s="9">
        <v>210.48875000000029</v>
      </c>
      <c r="J123" s="59"/>
      <c r="K123" s="59"/>
    </row>
    <row r="124" spans="1:19" x14ac:dyDescent="0.3">
      <c r="A124" s="104"/>
      <c r="C124" s="108"/>
      <c r="D124" s="7" t="s">
        <v>26</v>
      </c>
      <c r="E124" s="10">
        <v>158.70400000000058</v>
      </c>
      <c r="F124" s="10">
        <v>160.17599999999968</v>
      </c>
      <c r="G124" s="10">
        <v>167.88299999999987</v>
      </c>
      <c r="H124" s="10">
        <v>176.71750000000009</v>
      </c>
      <c r="I124" s="10">
        <v>163.47849999999997</v>
      </c>
      <c r="J124" s="59"/>
      <c r="K124" s="59"/>
    </row>
    <row r="125" spans="1:19" x14ac:dyDescent="0.3">
      <c r="A125" s="104"/>
      <c r="C125" s="108"/>
      <c r="D125" s="5" t="s">
        <v>27</v>
      </c>
      <c r="E125" s="9">
        <v>135.13899999999947</v>
      </c>
      <c r="F125" s="9">
        <v>136.12700000000032</v>
      </c>
      <c r="G125" s="9">
        <v>139.73800000000003</v>
      </c>
      <c r="H125" s="9">
        <v>152.66500000000011</v>
      </c>
      <c r="I125" s="9">
        <v>133.24549999999999</v>
      </c>
      <c r="J125" s="59"/>
      <c r="K125" s="59"/>
    </row>
    <row r="126" spans="1:19" x14ac:dyDescent="0.3">
      <c r="A126" s="104"/>
      <c r="C126" s="108"/>
      <c r="D126" s="7" t="s">
        <v>28</v>
      </c>
      <c r="E126" s="8">
        <v>111.88119999999984</v>
      </c>
      <c r="F126" s="8">
        <v>108.53399999999975</v>
      </c>
      <c r="G126" s="8">
        <v>127.45859999999996</v>
      </c>
      <c r="H126" s="8">
        <v>129.99139999999991</v>
      </c>
      <c r="I126" s="8">
        <v>109.31149999999987</v>
      </c>
      <c r="J126" s="59"/>
      <c r="K126" s="59"/>
    </row>
    <row r="127" spans="1:19" x14ac:dyDescent="0.3">
      <c r="A127" s="104"/>
      <c r="C127" s="59"/>
      <c r="D127" s="60"/>
      <c r="E127" s="59"/>
      <c r="F127" s="59"/>
      <c r="G127" s="59"/>
      <c r="H127" s="59"/>
      <c r="I127" s="59"/>
      <c r="J127" s="59"/>
      <c r="K127" s="59"/>
    </row>
  </sheetData>
  <sheetProtection sheet="1" formatCells="0" formatColumns="0" insertColumns="0" insertRows="0" insertHyperlinks="0" deleteColumns="0" deleteRows="0" sort="0" autoFilter="0" pivotTables="0"/>
  <mergeCells count="37">
    <mergeCell ref="C1:H1"/>
    <mergeCell ref="D10:F10"/>
    <mergeCell ref="D7:K7"/>
    <mergeCell ref="A55:A67"/>
    <mergeCell ref="C56:D56"/>
    <mergeCell ref="C61:C65"/>
    <mergeCell ref="C55:I55"/>
    <mergeCell ref="C35:H35"/>
    <mergeCell ref="C13:H13"/>
    <mergeCell ref="D9:K9"/>
    <mergeCell ref="A13:A34"/>
    <mergeCell ref="A35:A54"/>
    <mergeCell ref="C14:D14"/>
    <mergeCell ref="C21:C25"/>
    <mergeCell ref="C28:C32"/>
    <mergeCell ref="C36:D36"/>
    <mergeCell ref="A68:A87"/>
    <mergeCell ref="A108:A127"/>
    <mergeCell ref="C74:C78"/>
    <mergeCell ref="C81:C85"/>
    <mergeCell ref="A88:A107"/>
    <mergeCell ref="C94:C98"/>
    <mergeCell ref="C101:C105"/>
    <mergeCell ref="C89:D89"/>
    <mergeCell ref="C69:D69"/>
    <mergeCell ref="C115:C119"/>
    <mergeCell ref="C122:C126"/>
    <mergeCell ref="C109:D109"/>
    <mergeCell ref="C88:M88"/>
    <mergeCell ref="C108:I108"/>
    <mergeCell ref="C68:G68"/>
    <mergeCell ref="C41:C45"/>
    <mergeCell ref="C48:C52"/>
    <mergeCell ref="D2:K2"/>
    <mergeCell ref="D5:K5"/>
    <mergeCell ref="D6:K6"/>
    <mergeCell ref="D8:K8"/>
  </mergeCells>
  <phoneticPr fontId="13" type="noConversion"/>
  <hyperlinks>
    <hyperlink ref="D5" location="Déchèteries!A19" display="Déchèteries!A19" xr:uid="{00000000-0004-0000-0500-000000000000}"/>
    <hyperlink ref="D10" location="Déchèteries!A114" display="Déchèteries!A114" xr:uid="{00000000-0004-0000-0500-000001000000}"/>
    <hyperlink ref="D9" location="Déchèteries!A94" display="Déchèteries!A94" xr:uid="{00000000-0004-0000-0500-000002000000}"/>
    <hyperlink ref="D6" location="Déchèteries!A51" display="Déchèteries!A51" xr:uid="{00000000-0004-0000-0500-000003000000}"/>
    <hyperlink ref="D8" location="Déchèteries!A83" display="Déchèteries!A83" xr:uid="{00000000-0004-0000-0500-000004000000}"/>
    <hyperlink ref="D2" location="Sommaire!A1" display="Retour sommaire annexe" xr:uid="{00000000-0004-0000-0500-00000A000000}"/>
    <hyperlink ref="C14" location="Déchèteries!A1" display="Retour sommaire fiche" xr:uid="{00000000-0004-0000-0500-00000B000000}"/>
    <hyperlink ref="C36" location="Déchèteries!A1" display="Retour sommaire fiche" xr:uid="{00000000-0004-0000-0500-00000C000000}"/>
    <hyperlink ref="C69" location="Déchèteries!A1" display="Retour sommaire fiche" xr:uid="{00000000-0004-0000-0500-00000D000000}"/>
    <hyperlink ref="C89" location="Déchèteries!A1" display="Retour sommaire fiche" xr:uid="{00000000-0004-0000-0500-00000E000000}"/>
    <hyperlink ref="C109" location="Déchèteries!A1" display="Retour sommaire fiche" xr:uid="{00000000-0004-0000-0500-00000F000000}"/>
    <hyperlink ref="D6:G6" location="Déchèteries!A42" display="Tableau 46 - Charges des déchèteries par étape technique" xr:uid="{3BFC9F1D-52B9-4EDD-9C9C-E4C53C0D2573}"/>
    <hyperlink ref="D8:G8" location="Déchèteries!A63" display="Tableau 47 - Produits des déchèteries par nature" xr:uid="{87CF68CD-01E6-4A1B-9DBA-B9C99C48CB07}"/>
    <hyperlink ref="D9:G9" location="Déchèteries!A83" display="Tableau 48 - Evolution du coût aidé HT des déchèteries" xr:uid="{DCD713E8-61CD-49C4-95D0-D9A73F7BAC83}"/>
    <hyperlink ref="D5:K5" location="Déchèteries!A13" display="Déchets en déchèterie - Coûts de synthèse" xr:uid="{1BBC30EB-06AF-4872-826F-67D0934535F8}"/>
    <hyperlink ref="D6:K6" location="Déchèteries!A35" display="Déchets en déchèterie - Charges par étape technique" xr:uid="{F7486EFA-827D-4AFF-8779-491892093119}"/>
    <hyperlink ref="D8:K8" location="Déchèteries!A68" display="Déchets en déchèterie - Produits par nature" xr:uid="{996A762A-3370-4ABB-8121-D841B9C084C2}"/>
    <hyperlink ref="D9:K9" location="Déchèteries!A88" display="Déchets en déchèterie - Évolution du coût aidé HT" xr:uid="{7780F683-4E6B-46CA-874F-CC55B4A0CC35}"/>
    <hyperlink ref="D7" location="Déchèteries!A51" display="Déchèteries!A51" xr:uid="{73915597-E595-4362-A3CE-3C33E7B4D346}"/>
    <hyperlink ref="D7:G7" location="Déchèteries!A42" display="Tableau 46 - Charges des déchèteries par étape technique" xr:uid="{FBFB93C3-5DE1-48E2-96B8-550E2E773976}"/>
    <hyperlink ref="D7:K7" location="Déchèteries!A55" display="Déchets en déchèterie - Charges de traitement selon les flux" xr:uid="{23C3CCC2-5FD9-405A-8901-8B103F80EB29}"/>
    <hyperlink ref="C56" location="Déchèteries!A1" display="Retour sommaire fiche" xr:uid="{CCA04D01-E87D-4955-B0F6-945C2EE253D7}"/>
  </hyperlinks>
  <pageMargins left="0.70866141732283472" right="0.70866141732283472" top="0.74803149606299213" bottom="0.74803149606299213" header="0.31496062992125984" footer="0.31496062992125984"/>
  <pageSetup paperSize="9" scale="59" fitToHeight="10" orientation="portrait" r:id="rId1"/>
  <rowBreaks count="1" manualBreakCount="1">
    <brk id="107" min="2" max="10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97"/>
  <sheetViews>
    <sheetView showGridLines="0" topLeftCell="C1" zoomScaleNormal="100" workbookViewId="0">
      <selection activeCell="A83" sqref="A83:A97"/>
    </sheetView>
  </sheetViews>
  <sheetFormatPr baseColWidth="10" defaultColWidth="11.44140625" defaultRowHeight="14.4" x14ac:dyDescent="0.3"/>
  <cols>
    <col min="1" max="2" width="11.44140625" hidden="1" customWidth="1"/>
    <col min="3" max="3" width="3.33203125" customWidth="1"/>
    <col min="4" max="4" width="25.33203125" style="1" bestFit="1" customWidth="1"/>
    <col min="5" max="12" width="17.33203125" customWidth="1"/>
    <col min="13" max="18" width="16.6640625" customWidth="1"/>
  </cols>
  <sheetData>
    <row r="1" spans="1:13" ht="18" x14ac:dyDescent="0.35">
      <c r="C1" s="81" t="s">
        <v>0</v>
      </c>
      <c r="D1" s="81"/>
      <c r="E1" s="81"/>
      <c r="F1" s="81"/>
      <c r="G1" s="81"/>
      <c r="H1" s="81"/>
    </row>
    <row r="2" spans="1:13" x14ac:dyDescent="0.3">
      <c r="C2" s="59"/>
      <c r="D2" s="99" t="s">
        <v>12</v>
      </c>
      <c r="E2" s="99"/>
      <c r="F2" s="99"/>
      <c r="G2" s="99"/>
      <c r="H2" s="99"/>
      <c r="I2" s="99"/>
      <c r="J2" s="99"/>
      <c r="K2" s="99"/>
      <c r="L2" s="11"/>
      <c r="M2" s="59"/>
    </row>
    <row r="3" spans="1:13" x14ac:dyDescent="0.3">
      <c r="C3" s="59"/>
      <c r="D3" s="60"/>
      <c r="E3" s="59"/>
      <c r="F3" s="59"/>
      <c r="G3" s="59"/>
      <c r="J3" s="59"/>
      <c r="K3" s="59"/>
      <c r="L3" s="60"/>
    </row>
    <row r="4" spans="1:13" x14ac:dyDescent="0.3">
      <c r="C4" s="59"/>
      <c r="D4" s="60"/>
      <c r="E4" s="59"/>
      <c r="F4" s="59"/>
      <c r="G4" s="59"/>
      <c r="J4" s="59"/>
      <c r="K4" s="59"/>
      <c r="L4" s="60"/>
    </row>
    <row r="5" spans="1:13" x14ac:dyDescent="0.3">
      <c r="C5" s="59"/>
      <c r="D5" s="99" t="s">
        <v>96</v>
      </c>
      <c r="E5" s="99"/>
      <c r="F5" s="99"/>
      <c r="G5" s="99"/>
      <c r="H5" s="99"/>
      <c r="I5" s="99"/>
      <c r="J5" s="99"/>
      <c r="K5" s="99"/>
      <c r="L5" s="11"/>
      <c r="M5" s="59"/>
    </row>
    <row r="6" spans="1:13" x14ac:dyDescent="0.3">
      <c r="C6" s="59"/>
      <c r="D6" s="99" t="s">
        <v>97</v>
      </c>
      <c r="E6" s="99"/>
      <c r="F6" s="99"/>
      <c r="G6" s="99"/>
      <c r="H6" s="99"/>
      <c r="I6" s="99"/>
      <c r="J6" s="99"/>
      <c r="K6" s="99"/>
      <c r="L6" s="11"/>
      <c r="M6" s="59"/>
    </row>
    <row r="7" spans="1:13" x14ac:dyDescent="0.3">
      <c r="C7" s="59"/>
      <c r="D7" s="99" t="s">
        <v>98</v>
      </c>
      <c r="E7" s="99"/>
      <c r="F7" s="99"/>
      <c r="G7" s="99"/>
      <c r="H7" s="99"/>
      <c r="I7" s="99"/>
      <c r="J7" s="99"/>
      <c r="K7" s="99"/>
      <c r="L7" s="11"/>
      <c r="M7" s="59"/>
    </row>
    <row r="8" spans="1:13" x14ac:dyDescent="0.3">
      <c r="C8" s="59"/>
      <c r="D8" s="99" t="s">
        <v>137</v>
      </c>
      <c r="E8" s="99"/>
      <c r="F8" s="99"/>
      <c r="G8" s="99"/>
      <c r="H8" s="99"/>
      <c r="I8" s="99"/>
      <c r="J8" s="99"/>
      <c r="K8" s="99"/>
      <c r="L8" s="60"/>
    </row>
    <row r="9" spans="1:13" x14ac:dyDescent="0.3">
      <c r="C9" s="59"/>
      <c r="D9" s="60"/>
      <c r="E9" s="59"/>
      <c r="F9" s="59"/>
      <c r="G9" s="59"/>
      <c r="H9" s="59"/>
      <c r="I9" s="59"/>
      <c r="J9" s="59"/>
      <c r="K9" s="59"/>
      <c r="L9" s="60"/>
    </row>
    <row r="10" spans="1:13" x14ac:dyDescent="0.3">
      <c r="C10" s="59"/>
      <c r="D10" s="60"/>
      <c r="E10" s="59"/>
      <c r="F10" s="59"/>
      <c r="G10" s="59"/>
      <c r="H10" s="59"/>
      <c r="I10" s="59"/>
      <c r="J10" s="59"/>
      <c r="K10" s="59"/>
      <c r="L10" s="59"/>
    </row>
    <row r="11" spans="1:13" ht="18" x14ac:dyDescent="0.35">
      <c r="A11" s="104"/>
      <c r="C11" s="81" t="str">
        <f>D5</f>
        <v xml:space="preserve">Autres flux - Coûts complet et aidé HT de gestion des déchets verts </v>
      </c>
      <c r="D11" s="81"/>
      <c r="E11" s="81"/>
      <c r="F11" s="81"/>
      <c r="G11" s="81"/>
      <c r="H11" s="81"/>
      <c r="I11" s="59"/>
      <c r="J11" s="59"/>
      <c r="K11" s="59"/>
      <c r="L11" s="59"/>
    </row>
    <row r="12" spans="1:13" x14ac:dyDescent="0.3">
      <c r="A12" s="104"/>
      <c r="C12" s="106" t="s">
        <v>35</v>
      </c>
      <c r="D12" s="106"/>
      <c r="E12" s="59"/>
      <c r="F12" s="59"/>
      <c r="G12" s="59"/>
      <c r="H12" s="59"/>
      <c r="I12" s="59"/>
      <c r="J12" s="59"/>
      <c r="K12" s="59"/>
      <c r="L12" s="59"/>
    </row>
    <row r="13" spans="1:13" x14ac:dyDescent="0.3">
      <c r="A13" s="104"/>
      <c r="C13" s="59"/>
      <c r="D13" s="59"/>
      <c r="E13" s="117" t="s">
        <v>99</v>
      </c>
      <c r="F13" s="118"/>
      <c r="G13" s="113" t="s">
        <v>22</v>
      </c>
      <c r="H13" s="113"/>
      <c r="I13" s="59"/>
      <c r="J13" s="59"/>
      <c r="K13" s="59"/>
      <c r="L13" s="59"/>
    </row>
    <row r="14" spans="1:13" x14ac:dyDescent="0.3">
      <c r="A14" s="104"/>
      <c r="C14" s="59"/>
      <c r="D14" s="59"/>
      <c r="E14" s="2" t="s">
        <v>100</v>
      </c>
      <c r="F14" s="2" t="s">
        <v>101</v>
      </c>
      <c r="G14" s="2" t="s">
        <v>100</v>
      </c>
      <c r="H14" s="2" t="s">
        <v>101</v>
      </c>
      <c r="I14" s="59"/>
    </row>
    <row r="15" spans="1:13" x14ac:dyDescent="0.3">
      <c r="A15" s="104"/>
      <c r="D15" s="3" t="s">
        <v>36</v>
      </c>
      <c r="E15" s="4">
        <v>54</v>
      </c>
      <c r="F15" s="4">
        <v>75</v>
      </c>
      <c r="G15" s="4">
        <v>54</v>
      </c>
      <c r="H15" s="4">
        <v>75</v>
      </c>
      <c r="I15" s="59"/>
      <c r="K15" s="59"/>
      <c r="L15" s="59"/>
    </row>
    <row r="16" spans="1:13" x14ac:dyDescent="0.3">
      <c r="A16" s="104"/>
      <c r="D16" s="3" t="s">
        <v>42</v>
      </c>
      <c r="E16" s="4">
        <v>31.99999999977997</v>
      </c>
      <c r="F16" s="4">
        <v>42.999999999772037</v>
      </c>
      <c r="G16" s="4">
        <v>31.99999999977997</v>
      </c>
      <c r="H16" s="4">
        <v>42.999999999772037</v>
      </c>
      <c r="I16" s="59"/>
    </row>
    <row r="17" spans="1:14" x14ac:dyDescent="0.3">
      <c r="A17" s="104"/>
      <c r="C17" s="59"/>
      <c r="D17" s="60"/>
      <c r="E17" s="59"/>
      <c r="F17" s="59"/>
      <c r="G17" s="59"/>
      <c r="H17" s="59"/>
      <c r="I17" s="59"/>
      <c r="K17" s="59"/>
      <c r="L17" s="59"/>
    </row>
    <row r="18" spans="1:14" x14ac:dyDescent="0.3">
      <c r="A18" s="104"/>
      <c r="C18" s="59"/>
      <c r="D18" s="60"/>
      <c r="E18" s="117" t="s">
        <v>99</v>
      </c>
      <c r="F18" s="118"/>
      <c r="G18" s="113" t="s">
        <v>22</v>
      </c>
      <c r="H18" s="113"/>
      <c r="I18" s="59"/>
    </row>
    <row r="19" spans="1:14" x14ac:dyDescent="0.3">
      <c r="A19" s="104"/>
      <c r="C19" s="59"/>
      <c r="D19"/>
      <c r="E19" s="2" t="s">
        <v>100</v>
      </c>
      <c r="F19" s="2" t="s">
        <v>101</v>
      </c>
      <c r="G19" s="2" t="s">
        <v>100</v>
      </c>
      <c r="H19" s="2" t="s">
        <v>101</v>
      </c>
      <c r="I19" s="59"/>
    </row>
    <row r="20" spans="1:14" x14ac:dyDescent="0.3">
      <c r="A20" s="104"/>
      <c r="C20" s="107" t="s">
        <v>39</v>
      </c>
      <c r="D20" s="16" t="s">
        <v>23</v>
      </c>
      <c r="E20" s="28">
        <v>7.6129500000000077</v>
      </c>
      <c r="F20" s="28">
        <v>19.833939999999991</v>
      </c>
      <c r="G20" s="28">
        <v>7.4370000000000074</v>
      </c>
      <c r="H20" s="28">
        <v>19.808600000000009</v>
      </c>
      <c r="I20" s="59"/>
    </row>
    <row r="21" spans="1:14" x14ac:dyDescent="0.3">
      <c r="A21" s="104"/>
      <c r="C21" s="107"/>
      <c r="D21" s="17" t="s">
        <v>24</v>
      </c>
      <c r="E21" s="33">
        <v>5.7680250000000006</v>
      </c>
      <c r="F21" s="33">
        <v>14.001999999999979</v>
      </c>
      <c r="G21" s="33">
        <v>5.7665000000000024</v>
      </c>
      <c r="H21" s="33">
        <v>13.964000000000027</v>
      </c>
      <c r="I21" s="59"/>
    </row>
    <row r="22" spans="1:14" s="25" customFormat="1" ht="17.399999999999999" customHeight="1" x14ac:dyDescent="0.3">
      <c r="A22" s="104"/>
      <c r="C22" s="107"/>
      <c r="D22" s="31" t="s">
        <v>26</v>
      </c>
      <c r="E22" s="34">
        <v>3.2720499999966823</v>
      </c>
      <c r="F22" s="34">
        <v>9.1605999999821943</v>
      </c>
      <c r="G22" s="34">
        <v>3.0224999999779443</v>
      </c>
      <c r="H22" s="34">
        <v>9.1609999999797083</v>
      </c>
      <c r="I22" s="59"/>
      <c r="J22"/>
      <c r="K22"/>
      <c r="L22"/>
      <c r="M22"/>
      <c r="N22"/>
    </row>
    <row r="23" spans="1:14" x14ac:dyDescent="0.3">
      <c r="A23" s="104"/>
      <c r="C23" s="107"/>
      <c r="D23" s="17" t="s">
        <v>27</v>
      </c>
      <c r="E23" s="36">
        <v>1.2444250000000001</v>
      </c>
      <c r="F23" s="36">
        <v>4.3707000000000003</v>
      </c>
      <c r="G23" s="36">
        <v>0.90424999999999944</v>
      </c>
      <c r="H23" s="36">
        <v>4.2900000000000027</v>
      </c>
      <c r="I23" s="59"/>
    </row>
    <row r="24" spans="1:14" x14ac:dyDescent="0.3">
      <c r="A24" s="104"/>
      <c r="C24" s="107"/>
      <c r="D24" s="16" t="s">
        <v>28</v>
      </c>
      <c r="E24" s="34">
        <v>0.52060000000000073</v>
      </c>
      <c r="F24" s="34">
        <v>1.7933199999999976</v>
      </c>
      <c r="G24" s="34">
        <v>0.34500000000000003</v>
      </c>
      <c r="H24" s="34">
        <v>1.7920000000000011</v>
      </c>
      <c r="I24" s="59"/>
    </row>
    <row r="25" spans="1:14" x14ac:dyDescent="0.3">
      <c r="A25" s="104"/>
      <c r="C25" s="59"/>
      <c r="D25" s="59"/>
      <c r="E25" s="61"/>
      <c r="F25" s="61"/>
      <c r="G25" s="59"/>
      <c r="H25" s="59"/>
      <c r="I25" s="59"/>
    </row>
    <row r="26" spans="1:14" x14ac:dyDescent="0.3">
      <c r="A26" s="104"/>
      <c r="C26" s="59"/>
      <c r="D26" s="59"/>
      <c r="E26" s="117" t="s">
        <v>99</v>
      </c>
      <c r="F26" s="118"/>
      <c r="G26" s="113" t="s">
        <v>22</v>
      </c>
      <c r="H26" s="113"/>
      <c r="I26" s="59"/>
    </row>
    <row r="27" spans="1:14" x14ac:dyDescent="0.3">
      <c r="A27" s="104"/>
      <c r="C27" s="59"/>
      <c r="D27"/>
      <c r="E27" s="2" t="s">
        <v>100</v>
      </c>
      <c r="F27" s="2" t="s">
        <v>101</v>
      </c>
      <c r="G27" s="2" t="s">
        <v>100</v>
      </c>
      <c r="H27" s="2" t="s">
        <v>101</v>
      </c>
      <c r="I27" s="59"/>
    </row>
    <row r="28" spans="1:14" x14ac:dyDescent="0.3">
      <c r="A28" s="104"/>
      <c r="C28" s="108" t="s">
        <v>40</v>
      </c>
      <c r="D28" s="5" t="s">
        <v>23</v>
      </c>
      <c r="E28" s="6">
        <v>226.69449999999978</v>
      </c>
      <c r="F28" s="6">
        <v>490.39919999999995</v>
      </c>
      <c r="G28" s="6">
        <v>222.14600000000013</v>
      </c>
      <c r="H28" s="6">
        <v>490.39919999999995</v>
      </c>
      <c r="I28" s="59"/>
    </row>
    <row r="29" spans="1:14" x14ac:dyDescent="0.3">
      <c r="A29" s="104"/>
      <c r="C29" s="108"/>
      <c r="D29" s="7" t="s">
        <v>24</v>
      </c>
      <c r="E29" s="8">
        <v>120.25349999999987</v>
      </c>
      <c r="F29" s="8">
        <v>300.37900000000047</v>
      </c>
      <c r="G29" s="8">
        <v>116.72999999999985</v>
      </c>
      <c r="H29" s="8">
        <v>300.10499999999968</v>
      </c>
      <c r="I29" s="59"/>
    </row>
    <row r="30" spans="1:14" x14ac:dyDescent="0.3">
      <c r="A30" s="104"/>
      <c r="C30" s="108"/>
      <c r="D30" s="5" t="s">
        <v>26</v>
      </c>
      <c r="E30" s="9">
        <v>76.810499999820991</v>
      </c>
      <c r="F30" s="9">
        <v>208.38599999991169</v>
      </c>
      <c r="G30" s="9">
        <v>72.477499999717907</v>
      </c>
      <c r="H30" s="9">
        <v>206.62899999992587</v>
      </c>
      <c r="I30" s="59"/>
    </row>
    <row r="31" spans="1:14" x14ac:dyDescent="0.3">
      <c r="A31" s="104"/>
      <c r="C31" s="108"/>
      <c r="D31" s="7" t="s">
        <v>27</v>
      </c>
      <c r="E31" s="10">
        <v>51.809499999999979</v>
      </c>
      <c r="F31" s="10">
        <v>161.0229999999998</v>
      </c>
      <c r="G31" s="10">
        <v>47.561250000000022</v>
      </c>
      <c r="H31" s="10">
        <v>157.72600000000008</v>
      </c>
      <c r="I31" s="59"/>
    </row>
    <row r="32" spans="1:14" x14ac:dyDescent="0.3">
      <c r="A32" s="104"/>
      <c r="C32" s="108"/>
      <c r="D32" s="5" t="s">
        <v>28</v>
      </c>
      <c r="E32" s="9">
        <v>38.375500000000045</v>
      </c>
      <c r="F32" s="9">
        <v>120.6408</v>
      </c>
      <c r="G32" s="9">
        <v>32.442999999999991</v>
      </c>
      <c r="H32" s="9">
        <v>119.73679999999993</v>
      </c>
      <c r="I32" s="59"/>
    </row>
    <row r="33" spans="1:19" x14ac:dyDescent="0.3">
      <c r="A33" s="104"/>
      <c r="C33" s="59"/>
      <c r="D33" s="60"/>
      <c r="E33" s="59"/>
      <c r="F33" s="59"/>
      <c r="G33" s="59"/>
      <c r="H33" s="59"/>
      <c r="I33" s="59"/>
      <c r="J33" s="59"/>
      <c r="K33" s="59"/>
      <c r="L33" s="59"/>
    </row>
    <row r="34" spans="1:19" x14ac:dyDescent="0.3">
      <c r="A34" s="104"/>
      <c r="C34" s="59"/>
      <c r="D34" s="60"/>
      <c r="E34" s="59"/>
      <c r="F34" s="59"/>
      <c r="G34" s="59"/>
      <c r="H34" s="59"/>
      <c r="I34" s="59"/>
      <c r="J34" s="59"/>
      <c r="K34" s="59"/>
      <c r="L34" s="59"/>
    </row>
    <row r="35" spans="1:19" ht="18" x14ac:dyDescent="0.35">
      <c r="A35" s="104"/>
      <c r="C35" s="81" t="str">
        <f>D6</f>
        <v>Autres flux - Coûts complet et aidé HT de gestion des biodéchets</v>
      </c>
      <c r="D35" s="81"/>
      <c r="E35" s="81"/>
      <c r="F35" s="81"/>
      <c r="G35" s="81"/>
      <c r="H35" s="81"/>
      <c r="I35" s="81"/>
      <c r="J35" s="81"/>
      <c r="K35" s="81"/>
      <c r="L35" s="81"/>
    </row>
    <row r="36" spans="1:19" x14ac:dyDescent="0.3">
      <c r="A36" s="104"/>
      <c r="C36" s="106" t="s">
        <v>35</v>
      </c>
      <c r="D36" s="106"/>
      <c r="E36" s="59"/>
      <c r="F36" s="59"/>
      <c r="G36" s="59"/>
      <c r="H36" s="59"/>
      <c r="I36" s="59"/>
      <c r="J36" s="59"/>
      <c r="K36" s="59"/>
      <c r="L36" s="59"/>
    </row>
    <row r="37" spans="1:19" x14ac:dyDescent="0.3">
      <c r="A37" s="104"/>
      <c r="C37" s="66"/>
      <c r="D37" s="60"/>
      <c r="E37" s="117" t="s">
        <v>99</v>
      </c>
      <c r="F37" s="119"/>
      <c r="G37" s="119"/>
      <c r="H37" s="118"/>
      <c r="I37" s="120" t="s">
        <v>22</v>
      </c>
      <c r="J37" s="121"/>
      <c r="K37" s="121"/>
      <c r="L37" s="121"/>
      <c r="M37" s="59"/>
      <c r="N37" s="59"/>
    </row>
    <row r="38" spans="1:19" ht="28.8" x14ac:dyDescent="0.3">
      <c r="A38" s="104"/>
      <c r="C38" s="59"/>
      <c r="D38" s="59"/>
      <c r="E38" s="2" t="s">
        <v>100</v>
      </c>
      <c r="F38" s="2" t="s">
        <v>102</v>
      </c>
      <c r="G38" s="2" t="s">
        <v>103</v>
      </c>
      <c r="H38" s="2" t="s">
        <v>104</v>
      </c>
      <c r="I38" s="2" t="s">
        <v>100</v>
      </c>
      <c r="J38" s="2" t="s">
        <v>102</v>
      </c>
      <c r="K38" s="2" t="s">
        <v>103</v>
      </c>
      <c r="L38" s="2" t="s">
        <v>104</v>
      </c>
      <c r="M38" s="59"/>
      <c r="N38" s="59"/>
      <c r="O38" s="59"/>
      <c r="P38" s="59"/>
    </row>
    <row r="39" spans="1:19" x14ac:dyDescent="0.3">
      <c r="A39" s="104"/>
      <c r="D39" s="3" t="s">
        <v>36</v>
      </c>
      <c r="E39" s="4">
        <v>11</v>
      </c>
      <c r="F39" s="4">
        <v>10</v>
      </c>
      <c r="G39" s="4">
        <v>9</v>
      </c>
      <c r="H39" s="4">
        <v>8</v>
      </c>
      <c r="I39" s="4">
        <v>11</v>
      </c>
      <c r="J39" s="4">
        <v>10</v>
      </c>
      <c r="K39" s="4">
        <v>9</v>
      </c>
      <c r="L39" s="4">
        <v>8</v>
      </c>
      <c r="M39" s="59"/>
      <c r="N39" s="59"/>
      <c r="O39" s="59"/>
      <c r="P39" s="59"/>
    </row>
    <row r="40" spans="1:19" x14ac:dyDescent="0.3">
      <c r="A40" s="104"/>
      <c r="D40" s="3" t="s">
        <v>42</v>
      </c>
      <c r="E40" s="4">
        <v>21.999999999964007</v>
      </c>
      <c r="F40" s="4">
        <v>37.49999999996701</v>
      </c>
      <c r="G40" s="4">
        <v>46.999999999880004</v>
      </c>
      <c r="H40" s="4">
        <v>64.999999999837996</v>
      </c>
      <c r="I40" s="4">
        <v>21.999999999964007</v>
      </c>
      <c r="J40" s="4">
        <v>37.49999999996701</v>
      </c>
      <c r="K40" s="4">
        <v>46.999999999880004</v>
      </c>
      <c r="L40" s="4">
        <v>64.999999999837996</v>
      </c>
      <c r="M40" s="59"/>
      <c r="N40" s="59"/>
      <c r="O40" s="59"/>
      <c r="P40" s="59"/>
    </row>
    <row r="41" spans="1:19" x14ac:dyDescent="0.3">
      <c r="A41" s="104"/>
      <c r="C41" s="59"/>
      <c r="D41" s="60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</row>
    <row r="42" spans="1:19" x14ac:dyDescent="0.3">
      <c r="A42" s="104"/>
      <c r="C42" s="59"/>
      <c r="D42" s="60"/>
      <c r="E42" s="117" t="s">
        <v>99</v>
      </c>
      <c r="F42" s="119"/>
      <c r="G42" s="119"/>
      <c r="H42" s="118"/>
      <c r="I42" s="120" t="s">
        <v>22</v>
      </c>
      <c r="J42" s="121"/>
      <c r="K42" s="121"/>
      <c r="L42" s="121"/>
      <c r="M42" s="59"/>
      <c r="N42" s="59"/>
      <c r="O42" s="59"/>
      <c r="P42" s="59"/>
    </row>
    <row r="43" spans="1:19" ht="28.8" x14ac:dyDescent="0.3">
      <c r="A43" s="104"/>
      <c r="C43" s="59"/>
      <c r="D43"/>
      <c r="E43" s="2" t="s">
        <v>100</v>
      </c>
      <c r="F43" s="2" t="s">
        <v>102</v>
      </c>
      <c r="G43" s="2" t="s">
        <v>103</v>
      </c>
      <c r="H43" s="2" t="s">
        <v>104</v>
      </c>
      <c r="I43" s="2" t="s">
        <v>100</v>
      </c>
      <c r="J43" s="2" t="s">
        <v>102</v>
      </c>
      <c r="K43" s="2" t="s">
        <v>103</v>
      </c>
      <c r="L43" s="2" t="s">
        <v>104</v>
      </c>
      <c r="M43" s="59"/>
      <c r="N43" s="59"/>
      <c r="O43" s="59"/>
      <c r="P43" s="59"/>
    </row>
    <row r="44" spans="1:19" x14ac:dyDescent="0.3">
      <c r="A44" s="104"/>
      <c r="C44" s="107" t="s">
        <v>39</v>
      </c>
      <c r="D44" s="16" t="s">
        <v>23</v>
      </c>
      <c r="E44" s="28">
        <v>16.533199999999997</v>
      </c>
      <c r="F44" s="28">
        <v>44.81130000000001</v>
      </c>
      <c r="G44" s="28">
        <v>43.425000000000004</v>
      </c>
      <c r="H44" s="28"/>
      <c r="I44" s="28">
        <v>16.204800000000002</v>
      </c>
      <c r="J44" s="28">
        <v>44.759099999999997</v>
      </c>
      <c r="K44" s="28">
        <v>43.425000000000004</v>
      </c>
      <c r="L44" s="28"/>
      <c r="M44" s="59"/>
      <c r="N44" s="59"/>
      <c r="O44" s="59"/>
      <c r="P44" s="59"/>
    </row>
    <row r="45" spans="1:19" x14ac:dyDescent="0.3">
      <c r="A45" s="104"/>
      <c r="C45" s="107"/>
      <c r="D45" s="17" t="s">
        <v>24</v>
      </c>
      <c r="E45" s="33">
        <v>13.604000000000001</v>
      </c>
      <c r="F45" s="33">
        <v>29.774999999999999</v>
      </c>
      <c r="G45" s="33">
        <v>28.279499999999992</v>
      </c>
      <c r="H45" s="33">
        <v>27.776250000000001</v>
      </c>
      <c r="I45" s="33">
        <v>13.407</v>
      </c>
      <c r="J45" s="33">
        <v>29.361750000000008</v>
      </c>
      <c r="K45" s="33">
        <v>27.592500000000001</v>
      </c>
      <c r="L45" s="33">
        <v>27.747000000000007</v>
      </c>
      <c r="M45" s="59"/>
      <c r="N45" s="59"/>
      <c r="O45" s="59"/>
      <c r="P45" s="59"/>
    </row>
    <row r="46" spans="1:19" s="25" customFormat="1" ht="18" customHeight="1" x14ac:dyDescent="0.3">
      <c r="A46" s="104"/>
      <c r="C46" s="107"/>
      <c r="D46" s="31" t="s">
        <v>26</v>
      </c>
      <c r="E46" s="34">
        <v>9.3089999999956081</v>
      </c>
      <c r="F46" s="34">
        <v>23.955499999948096</v>
      </c>
      <c r="G46" s="34">
        <v>23.165999999979725</v>
      </c>
      <c r="H46" s="34">
        <v>23.904499999980803</v>
      </c>
      <c r="I46" s="34">
        <v>8.8649999999982025</v>
      </c>
      <c r="J46" s="34">
        <v>23.830999999948581</v>
      </c>
      <c r="K46" s="34">
        <v>22.7259999999809</v>
      </c>
      <c r="L46" s="34">
        <v>23.794499999978822</v>
      </c>
      <c r="M46" s="64"/>
      <c r="N46" s="59"/>
      <c r="O46" s="59"/>
      <c r="P46" s="59"/>
      <c r="Q46"/>
      <c r="R46"/>
      <c r="S46"/>
    </row>
    <row r="47" spans="1:19" x14ac:dyDescent="0.3">
      <c r="A47" s="104"/>
      <c r="C47" s="107"/>
      <c r="D47" s="17" t="s">
        <v>27</v>
      </c>
      <c r="E47" s="36">
        <v>7.1820000000000013</v>
      </c>
      <c r="F47" s="36">
        <v>17.52525</v>
      </c>
      <c r="G47" s="36">
        <v>18.776499999999999</v>
      </c>
      <c r="H47" s="36">
        <v>17.484499999999997</v>
      </c>
      <c r="I47" s="36">
        <v>6.6050000000000031</v>
      </c>
      <c r="J47" s="36">
        <v>17.274499999999996</v>
      </c>
      <c r="K47" s="36">
        <v>18.587500000000002</v>
      </c>
      <c r="L47" s="36">
        <v>17.478749999999994</v>
      </c>
      <c r="M47" s="59"/>
      <c r="N47" s="59"/>
      <c r="O47" s="59"/>
      <c r="P47" s="59"/>
    </row>
    <row r="48" spans="1:19" x14ac:dyDescent="0.3">
      <c r="A48" s="104"/>
      <c r="C48" s="107"/>
      <c r="D48" s="16" t="s">
        <v>28</v>
      </c>
      <c r="E48" s="34">
        <v>4.5570000000000013</v>
      </c>
      <c r="F48" s="34">
        <v>16.563300000000002</v>
      </c>
      <c r="G48" s="34">
        <v>7.415</v>
      </c>
      <c r="H48" s="34"/>
      <c r="I48" s="34">
        <v>2.845400000000001</v>
      </c>
      <c r="J48" s="34">
        <v>16.535300000000003</v>
      </c>
      <c r="K48" s="34">
        <v>7.3590000000000009</v>
      </c>
      <c r="L48" s="34"/>
      <c r="M48" s="59"/>
      <c r="N48" s="59"/>
      <c r="O48" s="59"/>
      <c r="P48" s="59"/>
    </row>
    <row r="49" spans="1:16" x14ac:dyDescent="0.3">
      <c r="A49" s="104"/>
      <c r="C49" s="59"/>
      <c r="D49" s="59"/>
      <c r="E49" s="61"/>
      <c r="F49" s="61"/>
      <c r="G49" s="61"/>
      <c r="H49" s="61"/>
      <c r="I49" s="59"/>
      <c r="J49" s="59"/>
      <c r="K49" s="59"/>
      <c r="L49" s="59"/>
      <c r="M49" s="59"/>
      <c r="N49" s="59"/>
      <c r="O49" s="59"/>
      <c r="P49" s="59"/>
    </row>
    <row r="50" spans="1:16" x14ac:dyDescent="0.3">
      <c r="A50" s="104"/>
      <c r="C50" s="59"/>
      <c r="D50" s="59"/>
      <c r="E50" s="117" t="s">
        <v>99</v>
      </c>
      <c r="F50" s="119"/>
      <c r="G50" s="119"/>
      <c r="H50" s="118"/>
      <c r="I50" s="120" t="s">
        <v>22</v>
      </c>
      <c r="J50" s="121"/>
      <c r="K50" s="121"/>
      <c r="L50" s="121"/>
      <c r="M50" s="59"/>
      <c r="N50" s="59"/>
      <c r="O50" s="59"/>
      <c r="P50" s="59"/>
    </row>
    <row r="51" spans="1:16" ht="28.8" x14ac:dyDescent="0.3">
      <c r="A51" s="104"/>
      <c r="C51" s="59"/>
      <c r="D51"/>
      <c r="E51" s="2" t="s">
        <v>100</v>
      </c>
      <c r="F51" s="2" t="s">
        <v>102</v>
      </c>
      <c r="G51" s="2" t="s">
        <v>103</v>
      </c>
      <c r="H51" s="2" t="s">
        <v>104</v>
      </c>
      <c r="I51" s="2" t="s">
        <v>100</v>
      </c>
      <c r="J51" s="2" t="s">
        <v>102</v>
      </c>
      <c r="K51" s="2" t="s">
        <v>103</v>
      </c>
      <c r="L51" s="2" t="s">
        <v>104</v>
      </c>
      <c r="M51" s="59"/>
      <c r="N51" s="59"/>
      <c r="O51" s="59"/>
      <c r="P51" s="59"/>
    </row>
    <row r="52" spans="1:16" ht="14.4" customHeight="1" x14ac:dyDescent="0.3">
      <c r="A52" s="104"/>
      <c r="C52" s="108" t="s">
        <v>40</v>
      </c>
      <c r="D52" s="5" t="s">
        <v>23</v>
      </c>
      <c r="E52" s="6">
        <v>1326.8398</v>
      </c>
      <c r="F52" s="6">
        <v>1145.32</v>
      </c>
      <c r="G52" s="6">
        <v>819.58799999999985</v>
      </c>
      <c r="H52" s="6"/>
      <c r="I52" s="6">
        <v>1314.2792000000004</v>
      </c>
      <c r="J52" s="6">
        <v>1142.3071</v>
      </c>
      <c r="K52" s="6">
        <v>810.67600000000016</v>
      </c>
      <c r="L52" s="6"/>
      <c r="M52" s="59"/>
      <c r="N52" s="59"/>
      <c r="O52" s="59"/>
      <c r="P52" s="59"/>
    </row>
    <row r="53" spans="1:16" x14ac:dyDescent="0.3">
      <c r="A53" s="104"/>
      <c r="C53" s="108"/>
      <c r="D53" s="7" t="s">
        <v>24</v>
      </c>
      <c r="E53" s="8">
        <v>806.52099999999984</v>
      </c>
      <c r="F53" s="8">
        <v>931.35324999999989</v>
      </c>
      <c r="G53" s="8">
        <v>620.47649999999987</v>
      </c>
      <c r="H53" s="8">
        <v>406.00350000000003</v>
      </c>
      <c r="I53" s="8">
        <v>652.87200000000007</v>
      </c>
      <c r="J53" s="8">
        <v>921.25900000000001</v>
      </c>
      <c r="K53" s="8">
        <v>609.73750000000007</v>
      </c>
      <c r="L53" s="8">
        <v>405.89550000000003</v>
      </c>
      <c r="M53" s="59"/>
      <c r="N53" s="59"/>
      <c r="O53" s="59"/>
      <c r="P53" s="59"/>
    </row>
    <row r="54" spans="1:16" x14ac:dyDescent="0.3">
      <c r="A54" s="104"/>
      <c r="C54" s="108"/>
      <c r="D54" s="5" t="s">
        <v>26</v>
      </c>
      <c r="E54" s="9">
        <v>487.76499999943195</v>
      </c>
      <c r="F54" s="9">
        <v>652.78049999995176</v>
      </c>
      <c r="G54" s="9">
        <v>452.75999999980365</v>
      </c>
      <c r="H54" s="9">
        <v>320.89949999968115</v>
      </c>
      <c r="I54" s="9">
        <v>404.71699999985964</v>
      </c>
      <c r="J54" s="9">
        <v>645.6644999998756</v>
      </c>
      <c r="K54" s="9">
        <v>445.85699999985439</v>
      </c>
      <c r="L54" s="9">
        <v>320.89949999968115</v>
      </c>
      <c r="M54" s="59"/>
      <c r="N54" s="59"/>
      <c r="O54" s="59"/>
      <c r="P54" s="59"/>
    </row>
    <row r="55" spans="1:16" x14ac:dyDescent="0.3">
      <c r="A55" s="104"/>
      <c r="C55" s="108"/>
      <c r="D55" s="7" t="s">
        <v>27</v>
      </c>
      <c r="E55" s="10">
        <v>403.32900000000006</v>
      </c>
      <c r="F55" s="10">
        <v>462.93299999999999</v>
      </c>
      <c r="G55" s="10">
        <v>269.1275</v>
      </c>
      <c r="H55" s="10">
        <v>209.21499999999997</v>
      </c>
      <c r="I55" s="10">
        <v>383.16399999999993</v>
      </c>
      <c r="J55" s="10">
        <v>456.03699999999998</v>
      </c>
      <c r="K55" s="10">
        <v>267.40600000000001</v>
      </c>
      <c r="L55" s="10">
        <v>206.30749999999995</v>
      </c>
      <c r="M55" s="59"/>
      <c r="N55" s="59"/>
      <c r="O55" s="59"/>
      <c r="P55" s="59"/>
    </row>
    <row r="56" spans="1:16" x14ac:dyDescent="0.3">
      <c r="A56" s="104"/>
      <c r="C56" s="108"/>
      <c r="D56" s="5" t="s">
        <v>28</v>
      </c>
      <c r="E56" s="9">
        <v>386.75460000000004</v>
      </c>
      <c r="F56" s="9">
        <v>399.86430000000007</v>
      </c>
      <c r="G56" s="9">
        <v>208.69599999999997</v>
      </c>
      <c r="H56" s="9"/>
      <c r="I56" s="9">
        <v>357.14120000000003</v>
      </c>
      <c r="J56" s="9">
        <v>397.04889999999995</v>
      </c>
      <c r="K56" s="9">
        <v>200.00899999999999</v>
      </c>
      <c r="L56" s="9"/>
      <c r="M56" s="59"/>
      <c r="N56" s="59"/>
      <c r="O56" s="59"/>
      <c r="P56" s="59"/>
    </row>
    <row r="57" spans="1:16" x14ac:dyDescent="0.3">
      <c r="A57" s="104"/>
      <c r="C57" s="59"/>
      <c r="D57" s="60"/>
      <c r="E57" s="59"/>
      <c r="F57" s="59"/>
      <c r="G57" s="59"/>
      <c r="H57" s="59"/>
      <c r="I57" s="59"/>
    </row>
    <row r="58" spans="1:16" x14ac:dyDescent="0.3">
      <c r="A58" s="104"/>
      <c r="C58" s="59"/>
      <c r="D58" s="60"/>
      <c r="E58" s="59"/>
      <c r="F58" s="59"/>
      <c r="G58" s="59"/>
      <c r="H58" s="59"/>
      <c r="I58" s="59"/>
      <c r="J58" s="59"/>
      <c r="K58" s="59"/>
      <c r="L58" s="59"/>
    </row>
    <row r="59" spans="1:16" ht="18" x14ac:dyDescent="0.35">
      <c r="A59" s="104"/>
      <c r="C59" s="81" t="str">
        <f>D7</f>
        <v>Autres flux - Coûts complet et aidé HT de gestion des encombrants</v>
      </c>
      <c r="D59" s="81"/>
      <c r="E59" s="81"/>
      <c r="F59" s="81"/>
      <c r="G59" s="81"/>
      <c r="H59" s="81"/>
      <c r="I59" s="81"/>
      <c r="J59" s="81"/>
      <c r="K59" s="81"/>
      <c r="L59" s="81"/>
    </row>
    <row r="60" spans="1:16" x14ac:dyDescent="0.3">
      <c r="A60" s="104"/>
      <c r="C60" s="106" t="s">
        <v>35</v>
      </c>
      <c r="D60" s="106"/>
      <c r="E60" s="59"/>
      <c r="F60" s="59"/>
      <c r="G60" s="59"/>
      <c r="H60" s="59"/>
      <c r="I60" s="59"/>
      <c r="J60" s="59"/>
      <c r="K60" s="59"/>
      <c r="L60" s="59"/>
    </row>
    <row r="61" spans="1:16" x14ac:dyDescent="0.3">
      <c r="A61" s="104"/>
      <c r="C61" s="66"/>
      <c r="D61" s="66"/>
      <c r="E61" s="117" t="s">
        <v>99</v>
      </c>
      <c r="F61" s="119"/>
      <c r="G61" s="119"/>
      <c r="H61" s="118"/>
      <c r="I61" s="113" t="s">
        <v>22</v>
      </c>
      <c r="J61" s="113"/>
      <c r="K61" s="113"/>
      <c r="L61" s="113"/>
    </row>
    <row r="62" spans="1:16" x14ac:dyDescent="0.3">
      <c r="A62" s="104"/>
      <c r="C62" s="59"/>
      <c r="D62" s="59"/>
      <c r="E62" s="2" t="s">
        <v>100</v>
      </c>
      <c r="F62" s="2" t="s">
        <v>105</v>
      </c>
      <c r="G62" s="2" t="s">
        <v>106</v>
      </c>
      <c r="H62" s="2" t="s">
        <v>107</v>
      </c>
      <c r="I62" s="2" t="s">
        <v>100</v>
      </c>
      <c r="J62" s="2" t="s">
        <v>105</v>
      </c>
      <c r="K62" s="2" t="s">
        <v>106</v>
      </c>
      <c r="L62" s="2" t="s">
        <v>107</v>
      </c>
    </row>
    <row r="63" spans="1:16" x14ac:dyDescent="0.3">
      <c r="A63" s="104"/>
      <c r="C63" s="59"/>
      <c r="D63" s="3" t="s">
        <v>36</v>
      </c>
      <c r="E63" s="4">
        <v>3</v>
      </c>
      <c r="F63" s="4">
        <v>55</v>
      </c>
      <c r="G63" s="4">
        <v>20</v>
      </c>
      <c r="H63" s="4">
        <v>41</v>
      </c>
      <c r="I63" s="4">
        <v>3</v>
      </c>
      <c r="J63" s="4">
        <v>55</v>
      </c>
      <c r="K63" s="4">
        <v>20</v>
      </c>
      <c r="L63" s="4">
        <v>41</v>
      </c>
    </row>
    <row r="64" spans="1:16" x14ac:dyDescent="0.3">
      <c r="A64" s="104"/>
      <c r="C64" s="59"/>
      <c r="D64" s="3" t="s">
        <v>42</v>
      </c>
      <c r="E64" s="4">
        <v>1</v>
      </c>
      <c r="F64" s="4">
        <v>3</v>
      </c>
      <c r="G64" s="4">
        <v>3.9999999999780007</v>
      </c>
      <c r="H64" s="4">
        <v>6</v>
      </c>
      <c r="I64" s="4">
        <v>1</v>
      </c>
      <c r="J64" s="4">
        <v>3</v>
      </c>
      <c r="K64" s="4">
        <v>3.9999999999780007</v>
      </c>
      <c r="L64" s="4">
        <v>6</v>
      </c>
    </row>
    <row r="65" spans="1:22" x14ac:dyDescent="0.3">
      <c r="A65" s="104"/>
      <c r="D65"/>
    </row>
    <row r="66" spans="1:22" x14ac:dyDescent="0.3">
      <c r="A66" s="104"/>
      <c r="C66" s="59"/>
      <c r="D66" s="60"/>
      <c r="E66" s="117" t="s">
        <v>99</v>
      </c>
      <c r="F66" s="119"/>
      <c r="G66" s="119"/>
      <c r="H66" s="118"/>
      <c r="I66" s="113" t="s">
        <v>22</v>
      </c>
      <c r="J66" s="113"/>
      <c r="K66" s="113"/>
      <c r="L66" s="113"/>
    </row>
    <row r="67" spans="1:22" x14ac:dyDescent="0.3">
      <c r="A67" s="104"/>
      <c r="C67" s="59"/>
      <c r="D67"/>
      <c r="E67" s="2" t="s">
        <v>100</v>
      </c>
      <c r="F67" s="2" t="s">
        <v>105</v>
      </c>
      <c r="G67" s="2" t="s">
        <v>106</v>
      </c>
      <c r="H67" s="2" t="s">
        <v>107</v>
      </c>
      <c r="I67" s="2" t="s">
        <v>100</v>
      </c>
      <c r="J67" s="2" t="s">
        <v>105</v>
      </c>
      <c r="K67" s="2" t="s">
        <v>106</v>
      </c>
      <c r="L67" s="2" t="s">
        <v>107</v>
      </c>
    </row>
    <row r="68" spans="1:22" x14ac:dyDescent="0.3">
      <c r="A68" s="104"/>
      <c r="C68" s="107" t="s">
        <v>39</v>
      </c>
      <c r="D68" s="16" t="s">
        <v>23</v>
      </c>
      <c r="E68" s="28"/>
      <c r="F68" s="28">
        <v>3.781059999999997</v>
      </c>
      <c r="G68" s="28">
        <v>4.1570400000000003</v>
      </c>
      <c r="H68" s="28">
        <v>9.4961200000000048</v>
      </c>
      <c r="I68" s="28"/>
      <c r="J68" s="28">
        <v>3.4679999999999982</v>
      </c>
      <c r="K68" s="28">
        <v>4.1572000000000013</v>
      </c>
      <c r="L68" s="28">
        <v>9.3672000000000075</v>
      </c>
    </row>
    <row r="69" spans="1:22" x14ac:dyDescent="0.3">
      <c r="A69" s="104"/>
      <c r="C69" s="107"/>
      <c r="D69" s="17" t="s">
        <v>24</v>
      </c>
      <c r="E69" s="33">
        <v>0.49380000000000002</v>
      </c>
      <c r="F69" s="33">
        <v>2.6796999999999978</v>
      </c>
      <c r="G69" s="33">
        <v>2.6400250000000005</v>
      </c>
      <c r="H69" s="33">
        <v>7.6684999999999963</v>
      </c>
      <c r="I69" s="33">
        <v>0.49399999999999999</v>
      </c>
      <c r="J69" s="33">
        <v>2.6530000000000014</v>
      </c>
      <c r="K69" s="33">
        <v>2.6402500000000009</v>
      </c>
      <c r="L69" s="33">
        <v>6.8605</v>
      </c>
    </row>
    <row r="70" spans="1:22" s="25" customFormat="1" ht="18" customHeight="1" x14ac:dyDescent="0.3">
      <c r="A70" s="104"/>
      <c r="C70" s="107"/>
      <c r="D70" s="31" t="s">
        <v>26</v>
      </c>
      <c r="E70" s="34">
        <v>0.41449999999928361</v>
      </c>
      <c r="F70" s="34">
        <v>1.8517999999992723</v>
      </c>
      <c r="G70" s="34">
        <v>1.6764999999972656</v>
      </c>
      <c r="H70" s="34">
        <v>4.2760999999742362</v>
      </c>
      <c r="I70" s="34">
        <v>0.38499999999940004</v>
      </c>
      <c r="J70" s="34">
        <v>1.8179999999992729</v>
      </c>
      <c r="K70" s="34">
        <v>1.6604999999969547</v>
      </c>
      <c r="L70" s="34">
        <v>4.154999999976897</v>
      </c>
      <c r="N70"/>
      <c r="O70"/>
      <c r="P70"/>
      <c r="Q70"/>
      <c r="R70"/>
      <c r="S70"/>
      <c r="T70"/>
      <c r="U70"/>
      <c r="V70"/>
    </row>
    <row r="71" spans="1:22" x14ac:dyDescent="0.3">
      <c r="A71" s="104"/>
      <c r="C71" s="107"/>
      <c r="D71" s="17" t="s">
        <v>27</v>
      </c>
      <c r="E71" s="36">
        <v>0.23539999999999997</v>
      </c>
      <c r="F71" s="36">
        <v>1.0673999999999995</v>
      </c>
      <c r="G71" s="36">
        <v>0.57272500000000004</v>
      </c>
      <c r="H71" s="36">
        <v>1.2614000000000014</v>
      </c>
      <c r="I71" s="36">
        <v>0.23499999999999999</v>
      </c>
      <c r="J71" s="36">
        <v>1.0549999999999999</v>
      </c>
      <c r="K71" s="36">
        <v>0.50750000000000006</v>
      </c>
      <c r="L71" s="36">
        <v>1.2530000000000001</v>
      </c>
    </row>
    <row r="72" spans="1:22" x14ac:dyDescent="0.3">
      <c r="A72" s="104"/>
      <c r="C72" s="107"/>
      <c r="D72" s="16" t="s">
        <v>28</v>
      </c>
      <c r="E72" s="34"/>
      <c r="F72" s="34">
        <v>0.64565999999999968</v>
      </c>
      <c r="G72" s="34">
        <v>0.21024000000000012</v>
      </c>
      <c r="H72" s="34">
        <v>0.59636000000000045</v>
      </c>
      <c r="I72" s="34"/>
      <c r="J72" s="34">
        <v>0.64600000000000057</v>
      </c>
      <c r="K72" s="34">
        <v>0.19939999999999994</v>
      </c>
      <c r="L72" s="34">
        <v>0.59659999999999969</v>
      </c>
    </row>
    <row r="73" spans="1:22" x14ac:dyDescent="0.3">
      <c r="A73" s="104"/>
      <c r="C73" s="59"/>
      <c r="D73" s="60"/>
      <c r="E73" s="59"/>
      <c r="F73" s="59"/>
      <c r="G73" s="59"/>
      <c r="H73" s="59"/>
      <c r="I73" s="59"/>
      <c r="J73" s="59"/>
      <c r="K73" s="59"/>
      <c r="L73" s="59"/>
    </row>
    <row r="74" spans="1:22" x14ac:dyDescent="0.3">
      <c r="A74" s="104"/>
      <c r="C74" s="59"/>
      <c r="D74" s="60"/>
      <c r="E74" s="117" t="s">
        <v>99</v>
      </c>
      <c r="F74" s="119"/>
      <c r="G74" s="119"/>
      <c r="H74" s="118"/>
      <c r="I74" s="113" t="s">
        <v>22</v>
      </c>
      <c r="J74" s="113"/>
      <c r="K74" s="113"/>
      <c r="L74" s="113"/>
    </row>
    <row r="75" spans="1:22" x14ac:dyDescent="0.3">
      <c r="A75" s="1"/>
      <c r="C75" s="59"/>
      <c r="E75" s="2" t="s">
        <v>100</v>
      </c>
      <c r="F75" s="2" t="s">
        <v>105</v>
      </c>
      <c r="G75" s="2" t="s">
        <v>106</v>
      </c>
      <c r="H75" s="2" t="s">
        <v>107</v>
      </c>
      <c r="I75" s="2" t="s">
        <v>100</v>
      </c>
      <c r="J75" s="2" t="s">
        <v>105</v>
      </c>
      <c r="K75" s="2" t="s">
        <v>106</v>
      </c>
      <c r="L75" s="2" t="s">
        <v>107</v>
      </c>
    </row>
    <row r="76" spans="1:22" x14ac:dyDescent="0.3">
      <c r="A76" s="1"/>
      <c r="C76" s="108" t="s">
        <v>40</v>
      </c>
      <c r="D76" s="5" t="s">
        <v>23</v>
      </c>
      <c r="E76" s="6"/>
      <c r="F76" s="6">
        <v>1236.6307999999992</v>
      </c>
      <c r="G76" s="6">
        <v>656.23849999999993</v>
      </c>
      <c r="H76" s="6">
        <v>1334.0794000000008</v>
      </c>
      <c r="I76" s="6"/>
      <c r="J76" s="6">
        <v>1236.6307999999992</v>
      </c>
      <c r="K76" s="6">
        <v>656.09629999999981</v>
      </c>
      <c r="L76" s="6">
        <v>1322.828399999999</v>
      </c>
    </row>
    <row r="77" spans="1:22" x14ac:dyDescent="0.3">
      <c r="C77" s="108"/>
      <c r="D77" s="7" t="s">
        <v>24</v>
      </c>
      <c r="E77" s="8">
        <v>800.34</v>
      </c>
      <c r="F77" s="8">
        <v>979.55000000000075</v>
      </c>
      <c r="G77" s="8">
        <v>603.61650000000009</v>
      </c>
      <c r="H77" s="8">
        <v>913.18250000000012</v>
      </c>
      <c r="I77" s="8">
        <v>800.34</v>
      </c>
      <c r="J77" s="8">
        <v>970.81799999999942</v>
      </c>
      <c r="K77" s="8">
        <v>602.79724999999985</v>
      </c>
      <c r="L77" s="8">
        <v>892.70650000000001</v>
      </c>
    </row>
    <row r="78" spans="1:22" x14ac:dyDescent="0.3">
      <c r="C78" s="108"/>
      <c r="D78" s="5" t="s">
        <v>26</v>
      </c>
      <c r="E78" s="9">
        <v>426.52299999884127</v>
      </c>
      <c r="F78" s="9">
        <v>637.30899999963071</v>
      </c>
      <c r="G78" s="9">
        <v>392.6019999993066</v>
      </c>
      <c r="H78" s="9">
        <v>540.65899999971987</v>
      </c>
      <c r="I78" s="9">
        <v>426.52299999880182</v>
      </c>
      <c r="J78" s="9">
        <v>600.17799999932777</v>
      </c>
      <c r="K78" s="9">
        <v>380.39299999879381</v>
      </c>
      <c r="L78" s="9">
        <v>529.75199999897052</v>
      </c>
    </row>
    <row r="79" spans="1:22" x14ac:dyDescent="0.3">
      <c r="C79" s="108"/>
      <c r="D79" s="7" t="s">
        <v>27</v>
      </c>
      <c r="E79" s="10">
        <v>136.83699999999999</v>
      </c>
      <c r="F79" s="10">
        <v>426.29000000000053</v>
      </c>
      <c r="G79" s="10">
        <v>286.46500000000003</v>
      </c>
      <c r="H79" s="10">
        <v>425.43649999999991</v>
      </c>
      <c r="I79" s="10">
        <v>126.959</v>
      </c>
      <c r="J79" s="10">
        <v>395.44599999999997</v>
      </c>
      <c r="K79" s="10">
        <v>268.38100000000003</v>
      </c>
      <c r="L79" s="10">
        <v>413.09150000000022</v>
      </c>
    </row>
    <row r="80" spans="1:22" x14ac:dyDescent="0.3">
      <c r="C80" s="108"/>
      <c r="D80" s="5" t="s">
        <v>28</v>
      </c>
      <c r="E80" s="9"/>
      <c r="F80" s="9">
        <v>254.22099999999995</v>
      </c>
      <c r="G80" s="9">
        <v>197.62919999999994</v>
      </c>
      <c r="H80" s="9">
        <v>301.34959999999973</v>
      </c>
      <c r="I80" s="9"/>
      <c r="J80" s="9">
        <v>231.59679999999992</v>
      </c>
      <c r="K80" s="9">
        <v>162.68190000000001</v>
      </c>
      <c r="L80" s="9">
        <v>281.30279999999999</v>
      </c>
    </row>
    <row r="81" spans="1:24" x14ac:dyDescent="0.3">
      <c r="C81" s="59"/>
      <c r="D81" s="60"/>
      <c r="E81" s="59"/>
      <c r="F81" s="59"/>
      <c r="G81" s="59"/>
      <c r="H81" s="59"/>
      <c r="I81" s="59"/>
      <c r="J81" s="59"/>
      <c r="K81" s="59"/>
      <c r="L81" s="59"/>
    </row>
    <row r="82" spans="1:24" x14ac:dyDescent="0.3">
      <c r="C82" s="59"/>
      <c r="D82" s="60"/>
      <c r="E82" s="59"/>
      <c r="F82" s="59"/>
      <c r="G82" s="59"/>
      <c r="H82" s="59"/>
      <c r="I82" s="59"/>
      <c r="J82" s="59"/>
      <c r="K82" s="59"/>
      <c r="L82" s="59"/>
    </row>
    <row r="83" spans="1:24" ht="18" x14ac:dyDescent="0.35">
      <c r="A83" s="104"/>
      <c r="C83" s="81" t="str">
        <f>D8</f>
        <v>Autres flux - Coûts complet et aidé HT de gestion des déchets des professionnels</v>
      </c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</row>
    <row r="84" spans="1:24" x14ac:dyDescent="0.3">
      <c r="A84" s="104"/>
      <c r="C84" s="106" t="s">
        <v>35</v>
      </c>
      <c r="D84" s="106"/>
      <c r="E84" s="59"/>
      <c r="F84" s="59"/>
      <c r="G84" s="59"/>
      <c r="H84" s="59"/>
      <c r="I84" s="59"/>
      <c r="J84" s="59"/>
      <c r="K84" s="59"/>
      <c r="L84" s="59"/>
    </row>
    <row r="85" spans="1:24" x14ac:dyDescent="0.3">
      <c r="A85" s="104"/>
      <c r="C85" s="66"/>
      <c r="D85" s="66"/>
      <c r="E85" s="117" t="s">
        <v>99</v>
      </c>
      <c r="F85" s="119"/>
      <c r="G85" s="119"/>
      <c r="H85" s="119"/>
      <c r="I85" s="118"/>
      <c r="J85" s="117" t="s">
        <v>22</v>
      </c>
      <c r="K85" s="119"/>
      <c r="L85" s="119"/>
      <c r="M85" s="119"/>
      <c r="N85" s="118"/>
    </row>
    <row r="86" spans="1:24" x14ac:dyDescent="0.3">
      <c r="A86" s="104"/>
      <c r="C86" s="59"/>
      <c r="D86" s="59"/>
      <c r="E86" s="2" t="s">
        <v>14</v>
      </c>
      <c r="F86" s="2" t="s">
        <v>15</v>
      </c>
      <c r="G86" s="2" t="s">
        <v>16</v>
      </c>
      <c r="H86" s="2" t="s">
        <v>17</v>
      </c>
      <c r="I86" s="2" t="s">
        <v>138</v>
      </c>
      <c r="J86" s="2" t="s">
        <v>14</v>
      </c>
      <c r="K86" s="2" t="s">
        <v>15</v>
      </c>
      <c r="L86" s="2" t="s">
        <v>16</v>
      </c>
      <c r="M86" s="2" t="s">
        <v>17</v>
      </c>
      <c r="N86" s="2" t="s">
        <v>138</v>
      </c>
    </row>
    <row r="87" spans="1:24" x14ac:dyDescent="0.3">
      <c r="A87" s="104"/>
      <c r="C87" s="59"/>
      <c r="D87" s="3" t="s">
        <v>36</v>
      </c>
      <c r="E87" s="4">
        <v>44</v>
      </c>
      <c r="F87" s="4">
        <v>34</v>
      </c>
      <c r="G87" s="4">
        <v>95</v>
      </c>
      <c r="H87" s="4">
        <v>41</v>
      </c>
      <c r="I87" s="4">
        <v>214</v>
      </c>
      <c r="J87" s="4">
        <v>44</v>
      </c>
      <c r="K87" s="4">
        <v>34</v>
      </c>
      <c r="L87" s="4">
        <v>95</v>
      </c>
      <c r="M87" s="4">
        <v>41</v>
      </c>
      <c r="N87" s="4">
        <v>214</v>
      </c>
    </row>
    <row r="88" spans="1:24" x14ac:dyDescent="0.3">
      <c r="A88" s="104"/>
      <c r="C88" s="59"/>
      <c r="D88" s="3" t="s">
        <v>42</v>
      </c>
      <c r="E88" s="4">
        <v>7.5</v>
      </c>
      <c r="F88" s="4">
        <v>5</v>
      </c>
      <c r="G88" s="4">
        <v>4</v>
      </c>
      <c r="H88" s="4">
        <v>4</v>
      </c>
      <c r="I88" s="4">
        <v>5</v>
      </c>
      <c r="J88" s="4">
        <v>7.5</v>
      </c>
      <c r="K88" s="4">
        <v>5</v>
      </c>
      <c r="L88" s="4">
        <v>4</v>
      </c>
      <c r="M88" s="4">
        <v>4</v>
      </c>
      <c r="N88" s="4">
        <v>5</v>
      </c>
    </row>
    <row r="89" spans="1:24" x14ac:dyDescent="0.3">
      <c r="A89" s="104"/>
      <c r="D89"/>
    </row>
    <row r="90" spans="1:24" x14ac:dyDescent="0.3">
      <c r="A90" s="104"/>
      <c r="C90" s="59"/>
      <c r="D90" s="60"/>
      <c r="E90" s="117" t="s">
        <v>99</v>
      </c>
      <c r="F90" s="119"/>
      <c r="G90" s="119"/>
      <c r="H90" s="119"/>
      <c r="I90" s="118"/>
      <c r="J90" s="117" t="s">
        <v>22</v>
      </c>
      <c r="K90" s="119"/>
      <c r="L90" s="119"/>
      <c r="M90" s="119"/>
      <c r="N90" s="118"/>
    </row>
    <row r="91" spans="1:24" x14ac:dyDescent="0.3">
      <c r="A91" s="104"/>
      <c r="C91" s="59"/>
      <c r="D91"/>
      <c r="E91" s="2" t="s">
        <v>14</v>
      </c>
      <c r="F91" s="2" t="s">
        <v>15</v>
      </c>
      <c r="G91" s="2" t="s">
        <v>16</v>
      </c>
      <c r="H91" s="2" t="s">
        <v>17</v>
      </c>
      <c r="I91" s="2" t="s">
        <v>138</v>
      </c>
      <c r="J91" s="2" t="s">
        <v>14</v>
      </c>
      <c r="K91" s="2" t="s">
        <v>15</v>
      </c>
      <c r="L91" s="2" t="s">
        <v>16</v>
      </c>
      <c r="M91" s="2" t="s">
        <v>17</v>
      </c>
      <c r="N91" s="2" t="s">
        <v>138</v>
      </c>
    </row>
    <row r="92" spans="1:24" x14ac:dyDescent="0.3">
      <c r="A92" s="104"/>
      <c r="C92" s="107" t="s">
        <v>39</v>
      </c>
      <c r="D92" s="16" t="s">
        <v>23</v>
      </c>
      <c r="E92" s="28">
        <v>8.0414000000000048</v>
      </c>
      <c r="F92" s="28">
        <v>4.1879000000000008</v>
      </c>
      <c r="G92" s="28">
        <v>6.1232600000000001</v>
      </c>
      <c r="H92" s="28">
        <v>5.141300000000002</v>
      </c>
      <c r="I92" s="28">
        <v>5.89975</v>
      </c>
      <c r="J92" s="28">
        <v>7.9467500000000051</v>
      </c>
      <c r="K92" s="28">
        <v>3.5327000000000019</v>
      </c>
      <c r="L92" s="28">
        <v>4.8085600000000008</v>
      </c>
      <c r="M92" s="28">
        <v>4.3288200000000048</v>
      </c>
      <c r="N92" s="28">
        <v>4.7139499999999996</v>
      </c>
    </row>
    <row r="93" spans="1:24" x14ac:dyDescent="0.3">
      <c r="A93" s="104"/>
      <c r="C93" s="107"/>
      <c r="D93" s="17" t="s">
        <v>24</v>
      </c>
      <c r="E93" s="33">
        <v>4.7369250000000056</v>
      </c>
      <c r="F93" s="33">
        <v>2.6602000000000019</v>
      </c>
      <c r="G93" s="33">
        <v>2.9978999999999965</v>
      </c>
      <c r="H93" s="33">
        <v>3.8223999999999987</v>
      </c>
      <c r="I93" s="33">
        <v>3.2269000000000001</v>
      </c>
      <c r="J93" s="33">
        <v>3.7489000000000003</v>
      </c>
      <c r="K93" s="33">
        <v>2.2367500000000002</v>
      </c>
      <c r="L93" s="33">
        <v>2.2298000000000036</v>
      </c>
      <c r="M93" s="33">
        <v>3.44475</v>
      </c>
      <c r="N93" s="33">
        <v>2.6203250000000002</v>
      </c>
    </row>
    <row r="94" spans="1:24" s="25" customFormat="1" ht="18" customHeight="1" x14ac:dyDescent="0.3">
      <c r="A94" s="104"/>
      <c r="C94" s="107"/>
      <c r="D94" s="31" t="s">
        <v>26</v>
      </c>
      <c r="E94" s="34">
        <v>2.1966000000000023</v>
      </c>
      <c r="F94" s="34">
        <v>1.9082000000000003</v>
      </c>
      <c r="G94" s="34">
        <v>1.5589999999999982</v>
      </c>
      <c r="H94" s="34">
        <v>1.3113999999999992</v>
      </c>
      <c r="I94" s="34">
        <v>1.6879999999999999</v>
      </c>
      <c r="J94" s="34">
        <v>1.8923000000000008</v>
      </c>
      <c r="K94" s="34">
        <v>1.4730500000000004</v>
      </c>
      <c r="L94" s="34">
        <v>1.1787000000000023</v>
      </c>
      <c r="M94" s="34">
        <v>1.0848999999999995</v>
      </c>
      <c r="N94" s="34">
        <v>1.3563499999999999</v>
      </c>
      <c r="P94"/>
      <c r="Q94"/>
      <c r="R94"/>
      <c r="S94"/>
      <c r="T94"/>
      <c r="U94"/>
      <c r="V94"/>
      <c r="W94"/>
      <c r="X94"/>
    </row>
    <row r="95" spans="1:24" x14ac:dyDescent="0.3">
      <c r="A95" s="104"/>
      <c r="C95" s="107"/>
      <c r="D95" s="17" t="s">
        <v>27</v>
      </c>
      <c r="E95" s="36">
        <v>1.3175499999999989</v>
      </c>
      <c r="F95" s="36">
        <v>1.2130000000000007</v>
      </c>
      <c r="G95" s="36">
        <v>0.66749999999999854</v>
      </c>
      <c r="H95" s="36">
        <v>0.67705000000000048</v>
      </c>
      <c r="I95" s="36">
        <v>0.882575</v>
      </c>
      <c r="J95" s="36">
        <v>0.97270000000000068</v>
      </c>
      <c r="K95" s="36">
        <v>0.88687499999999997</v>
      </c>
      <c r="L95" s="36">
        <v>0.41749999999999965</v>
      </c>
      <c r="M95" s="36">
        <v>0.54050000000000031</v>
      </c>
      <c r="N95" s="36">
        <v>0.69682500000000003</v>
      </c>
    </row>
    <row r="96" spans="1:24" x14ac:dyDescent="0.3">
      <c r="A96" s="104"/>
      <c r="C96" s="107"/>
      <c r="D96" s="16" t="s">
        <v>28</v>
      </c>
      <c r="E96" s="34">
        <v>0.85949999999999993</v>
      </c>
      <c r="F96" s="34">
        <v>0.62719999999999965</v>
      </c>
      <c r="G96" s="34">
        <v>0.32319999999999999</v>
      </c>
      <c r="H96" s="34">
        <v>0.25811999999999996</v>
      </c>
      <c r="I96" s="34">
        <v>0.42379999999999995</v>
      </c>
      <c r="J96" s="34">
        <v>0.55679999999999941</v>
      </c>
      <c r="K96" s="34">
        <v>0.51510000000000022</v>
      </c>
      <c r="L96" s="34">
        <v>0.16576000000000021</v>
      </c>
      <c r="M96" s="34">
        <v>0.11093999999999996</v>
      </c>
      <c r="N96" s="34">
        <v>0.24095</v>
      </c>
    </row>
    <row r="97" spans="1:14" x14ac:dyDescent="0.3">
      <c r="A97" s="104"/>
      <c r="C97" s="59"/>
      <c r="D97" s="60"/>
      <c r="E97" s="59"/>
      <c r="F97" s="59"/>
      <c r="G97" s="59"/>
      <c r="H97" s="59"/>
      <c r="I97" s="59"/>
      <c r="J97" s="59"/>
      <c r="K97" s="59"/>
      <c r="L97" s="59"/>
      <c r="M97" s="59"/>
      <c r="N97" s="59"/>
    </row>
  </sheetData>
  <sheetProtection sheet="1" formatCells="0" formatColumns="0" insertColumns="0" insertRows="0" insertHyperlinks="0" deleteColumns="0" deleteRows="0" sort="0" autoFilter="0" pivotTables="0"/>
  <mergeCells count="47">
    <mergeCell ref="C1:H1"/>
    <mergeCell ref="D8:K8"/>
    <mergeCell ref="E90:I90"/>
    <mergeCell ref="E85:I85"/>
    <mergeCell ref="J90:N90"/>
    <mergeCell ref="J85:N85"/>
    <mergeCell ref="C83:N83"/>
    <mergeCell ref="D2:K2"/>
    <mergeCell ref="D5:K5"/>
    <mergeCell ref="D6:K6"/>
    <mergeCell ref="D7:K7"/>
    <mergeCell ref="I61:L61"/>
    <mergeCell ref="C36:D36"/>
    <mergeCell ref="E66:H66"/>
    <mergeCell ref="I66:L66"/>
    <mergeCell ref="E74:H74"/>
    <mergeCell ref="A83:A97"/>
    <mergeCell ref="C84:D84"/>
    <mergeCell ref="C92:C96"/>
    <mergeCell ref="C76:C80"/>
    <mergeCell ref="C68:C72"/>
    <mergeCell ref="I74:L74"/>
    <mergeCell ref="E61:H61"/>
    <mergeCell ref="G13:H13"/>
    <mergeCell ref="G18:H18"/>
    <mergeCell ref="A35:A58"/>
    <mergeCell ref="C44:C48"/>
    <mergeCell ref="C52:C56"/>
    <mergeCell ref="A59:A74"/>
    <mergeCell ref="C60:D60"/>
    <mergeCell ref="C59:L59"/>
    <mergeCell ref="E37:H37"/>
    <mergeCell ref="I37:L37"/>
    <mergeCell ref="E42:H42"/>
    <mergeCell ref="I42:L42"/>
    <mergeCell ref="E50:H50"/>
    <mergeCell ref="I50:L50"/>
    <mergeCell ref="C35:L35"/>
    <mergeCell ref="A11:A34"/>
    <mergeCell ref="C20:C24"/>
    <mergeCell ref="C28:C32"/>
    <mergeCell ref="C12:D12"/>
    <mergeCell ref="E13:F13"/>
    <mergeCell ref="E26:F26"/>
    <mergeCell ref="E18:F18"/>
    <mergeCell ref="G26:H26"/>
    <mergeCell ref="C11:H11"/>
  </mergeCells>
  <hyperlinks>
    <hyperlink ref="D5" location="'Autres flux'!A19" display="'Autres flux'!A19" xr:uid="{00000000-0004-0000-0600-000000000000}"/>
    <hyperlink ref="D2" location="Sommaire!A1" display="Retour sommaire annexe" xr:uid="{00000000-0004-0000-0600-000001000000}"/>
    <hyperlink ref="C12" location="'Autres flux'!A1" display="Retour sommaire fiche" xr:uid="{00000000-0004-0000-0600-000002000000}"/>
    <hyperlink ref="C36" location="'Autres flux'!A1" display="Retour sommaire fiche" xr:uid="{00000000-0004-0000-0600-000003000000}"/>
    <hyperlink ref="C60" location="'Autres flux'!A1" display="Retour sommaire fiche" xr:uid="{00000000-0004-0000-0600-000004000000}"/>
    <hyperlink ref="D6:D7" location="OMR!A19" display="OMR!A19" xr:uid="{00000000-0004-0000-0600-000007000000}"/>
    <hyperlink ref="D6" location="'Autres flux'!A19" display="'Autres flux'!A19" xr:uid="{F914FBA9-3EAF-4D8F-BFA3-9D131BCD2E19}"/>
    <hyperlink ref="D7" location="'Autres flux'!A19" display="'Autres flux'!A19" xr:uid="{2E3A2B59-C244-4BFA-BC0D-AD139ABC5D81}"/>
    <hyperlink ref="D5:G5" location="'Autres flux'!A12" display="Tableau 69 - Coûts complet et aidé HT de gestion des déchets verts " xr:uid="{6669D6A0-13CD-482C-A357-7363667202F1}"/>
    <hyperlink ref="D6:G6" location="'Autres flux'!A34" display="Tableau 70 - Coûts complet et aidé HT de gestion des biodéchets" xr:uid="{34084E22-61E6-40FE-928C-0EAC97DA763C}"/>
    <hyperlink ref="D7:G7" location="'Autres flux'!A57" display="Tableau 71 - Coûts complet et aidé HT de gestion des encombrants" xr:uid="{0D4C76DF-6787-44E2-9421-BA4F554953E1}"/>
    <hyperlink ref="D5:K5" location="'Autres flux'!A11" display="Autres flux - Coûts complet et aidé HT de gestion des déchets verts " xr:uid="{4AC8489D-620F-438D-B638-1A866BD27854}"/>
    <hyperlink ref="D6:K6" location="'Autres flux'!A35" display="Autres flux - Coûts complet et aidé HT de gestion des biodéchets" xr:uid="{7B248761-546F-4124-85D1-B46EA04CC1C7}"/>
    <hyperlink ref="D7:K7" location="'Autres flux'!A59" display="Autres flux - Coûts complet et aidé HT de gestion des encombrants" xr:uid="{9E3460EB-4838-4AD8-940C-70422E1F47F2}"/>
    <hyperlink ref="C84" location="'Autres flux'!A1" display="Retour sommaire fiche" xr:uid="{44BFA55D-EFBA-4DAF-BAE7-C4A9EAAA6BB2}"/>
    <hyperlink ref="D8" location="'Autres flux'!A19" display="'Autres flux'!A19" xr:uid="{82D1C1F7-405C-4602-A34E-0C7F7838BBC2}"/>
    <hyperlink ref="D8:G8" location="'Autres flux'!A57" display="Tableau 71 - Coûts complet et aidé HT de gestion des encombrants" xr:uid="{AC485CF6-B981-4D8C-B016-3B8890972E67}"/>
    <hyperlink ref="D8:K8" location="'Autres flux'!A83" display="Autres flux - Coûts complet et aidé HT de gestion des déchets des professionnels" xr:uid="{71AEC4E2-BF08-4647-895D-6C2DB8474BE2}"/>
  </hyperlinks>
  <pageMargins left="0.70866141732283472" right="0.70866141732283472" top="0.74803149606299213" bottom="0.74803149606299213" header="0.31496062992125984" footer="0.31496062992125984"/>
  <pageSetup paperSize="9" scale="59" fitToHeight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354"/>
  <sheetViews>
    <sheetView showGridLines="0" topLeftCell="C1" zoomScaleNormal="100" workbookViewId="0">
      <selection activeCell="E32" sqref="E32:E36"/>
    </sheetView>
  </sheetViews>
  <sheetFormatPr baseColWidth="10" defaultColWidth="11.44140625" defaultRowHeight="14.4" x14ac:dyDescent="0.3"/>
  <cols>
    <col min="1" max="2" width="11.44140625" hidden="1" customWidth="1"/>
    <col min="3" max="3" width="3.33203125" customWidth="1"/>
    <col min="4" max="4" width="25.33203125" style="1" bestFit="1" customWidth="1"/>
    <col min="5" max="18" width="16.6640625" customWidth="1"/>
  </cols>
  <sheetData>
    <row r="1" spans="3:13" ht="18" x14ac:dyDescent="0.35">
      <c r="C1" s="81" t="s">
        <v>0</v>
      </c>
      <c r="D1" s="81"/>
      <c r="E1" s="81"/>
      <c r="F1" s="81"/>
      <c r="G1" s="81"/>
      <c r="H1" s="81"/>
      <c r="I1" s="81"/>
      <c r="J1" s="81"/>
      <c r="K1" s="81"/>
      <c r="L1" s="81"/>
    </row>
    <row r="2" spans="3:13" x14ac:dyDescent="0.3">
      <c r="C2" s="59"/>
      <c r="D2" s="58" t="s">
        <v>12</v>
      </c>
      <c r="E2" s="59"/>
      <c r="F2" s="59"/>
      <c r="G2" s="59"/>
      <c r="H2" s="59"/>
      <c r="I2" s="59"/>
      <c r="J2" s="59"/>
      <c r="K2" s="59"/>
      <c r="L2" s="59"/>
    </row>
    <row r="3" spans="3:13" x14ac:dyDescent="0.3">
      <c r="C3" s="59"/>
      <c r="D3" s="60"/>
      <c r="E3" s="59"/>
      <c r="F3" s="59"/>
      <c r="G3" s="59"/>
      <c r="H3" s="59"/>
      <c r="K3" s="59"/>
      <c r="L3" s="60"/>
    </row>
    <row r="4" spans="3:13" x14ac:dyDescent="0.3">
      <c r="C4" s="59"/>
      <c r="D4" s="60"/>
      <c r="E4" s="59"/>
      <c r="F4" s="59"/>
      <c r="G4" s="59"/>
      <c r="H4" s="59"/>
      <c r="K4" s="59"/>
      <c r="L4" s="60"/>
    </row>
    <row r="5" spans="3:13" x14ac:dyDescent="0.3">
      <c r="C5" s="59"/>
      <c r="D5" s="99" t="s">
        <v>108</v>
      </c>
      <c r="E5" s="99"/>
      <c r="F5" s="99"/>
      <c r="G5" s="99"/>
      <c r="H5" s="99"/>
      <c r="I5" s="99"/>
      <c r="J5" s="99"/>
      <c r="K5" s="99"/>
      <c r="L5" s="11"/>
      <c r="M5" s="59"/>
    </row>
    <row r="6" spans="3:13" x14ac:dyDescent="0.3">
      <c r="C6" s="59"/>
      <c r="D6" s="99" t="s">
        <v>109</v>
      </c>
      <c r="E6" s="99"/>
      <c r="F6" s="99"/>
      <c r="G6" s="99"/>
      <c r="H6" s="99"/>
      <c r="I6" s="99"/>
      <c r="J6" s="99"/>
      <c r="K6" s="99"/>
      <c r="L6" s="11"/>
      <c r="M6" s="59"/>
    </row>
    <row r="7" spans="3:13" x14ac:dyDescent="0.3">
      <c r="C7" s="59"/>
      <c r="D7" s="116" t="s">
        <v>110</v>
      </c>
      <c r="E7" s="116"/>
      <c r="F7" s="116"/>
      <c r="G7" s="116"/>
      <c r="H7" s="116"/>
      <c r="I7" s="116"/>
      <c r="J7" s="116"/>
      <c r="K7" s="116"/>
      <c r="L7" s="11"/>
      <c r="M7" s="59"/>
    </row>
    <row r="8" spans="3:13" x14ac:dyDescent="0.3">
      <c r="C8" s="59"/>
      <c r="D8" s="116" t="s">
        <v>139</v>
      </c>
      <c r="E8" s="116"/>
      <c r="F8" s="116"/>
      <c r="G8" s="116"/>
      <c r="H8" s="116"/>
      <c r="I8" s="116"/>
      <c r="J8" s="116"/>
      <c r="K8" s="116"/>
      <c r="L8" s="11"/>
      <c r="M8" s="59"/>
    </row>
    <row r="9" spans="3:13" x14ac:dyDescent="0.3">
      <c r="C9" s="59"/>
      <c r="D9" s="116" t="s">
        <v>140</v>
      </c>
      <c r="E9" s="116"/>
      <c r="F9" s="116"/>
      <c r="G9" s="116"/>
      <c r="H9" s="116"/>
      <c r="I9" s="116"/>
      <c r="J9" s="116"/>
      <c r="K9" s="116"/>
      <c r="L9" s="11"/>
      <c r="M9" s="59"/>
    </row>
    <row r="10" spans="3:13" x14ac:dyDescent="0.3">
      <c r="C10" s="59"/>
      <c r="D10" s="116" t="s">
        <v>141</v>
      </c>
      <c r="E10" s="116"/>
      <c r="F10" s="116"/>
      <c r="G10" s="116"/>
      <c r="H10" s="116"/>
      <c r="I10" s="116"/>
      <c r="J10" s="116"/>
      <c r="K10" s="116"/>
      <c r="L10" s="11"/>
      <c r="M10" s="59"/>
    </row>
    <row r="11" spans="3:13" x14ac:dyDescent="0.3">
      <c r="C11" s="59"/>
      <c r="D11" s="116" t="s">
        <v>142</v>
      </c>
      <c r="E11" s="116"/>
      <c r="F11" s="116"/>
      <c r="G11" s="116"/>
      <c r="H11" s="116"/>
      <c r="I11" s="116"/>
      <c r="J11" s="116"/>
      <c r="K11" s="116"/>
      <c r="L11" s="11"/>
      <c r="M11" s="59"/>
    </row>
    <row r="12" spans="3:13" x14ac:dyDescent="0.3">
      <c r="C12" s="59"/>
      <c r="D12" s="116" t="s">
        <v>147</v>
      </c>
      <c r="E12" s="116"/>
      <c r="F12" s="116"/>
      <c r="G12" s="116"/>
      <c r="H12" s="116"/>
      <c r="I12" s="116"/>
      <c r="J12" s="116"/>
      <c r="K12" s="116"/>
      <c r="L12" s="11"/>
      <c r="M12" s="59"/>
    </row>
    <row r="13" spans="3:13" x14ac:dyDescent="0.3">
      <c r="C13" s="59"/>
      <c r="D13" s="116" t="s">
        <v>148</v>
      </c>
      <c r="E13" s="116"/>
      <c r="F13" s="116"/>
      <c r="G13" s="116"/>
      <c r="H13" s="116"/>
      <c r="I13" s="116"/>
      <c r="J13" s="116"/>
      <c r="K13" s="116"/>
      <c r="L13" s="11"/>
      <c r="M13" s="59"/>
    </row>
    <row r="14" spans="3:13" x14ac:dyDescent="0.3">
      <c r="C14" s="59"/>
      <c r="D14" s="99" t="s">
        <v>111</v>
      </c>
      <c r="E14" s="99"/>
      <c r="F14" s="99"/>
      <c r="G14" s="99"/>
      <c r="H14" s="99"/>
      <c r="I14" s="99"/>
      <c r="J14" s="99"/>
      <c r="K14" s="99"/>
      <c r="L14" s="11"/>
      <c r="M14" s="59"/>
    </row>
    <row r="15" spans="3:13" x14ac:dyDescent="0.3">
      <c r="C15" s="59"/>
      <c r="D15" s="99" t="s">
        <v>112</v>
      </c>
      <c r="E15" s="99"/>
      <c r="F15" s="99"/>
      <c r="G15" s="99"/>
      <c r="H15" s="99"/>
      <c r="I15" s="99"/>
      <c r="J15" s="99"/>
      <c r="K15" s="99"/>
      <c r="L15" s="11"/>
      <c r="M15" s="59"/>
    </row>
    <row r="16" spans="3:13" x14ac:dyDescent="0.3">
      <c r="C16" s="59"/>
      <c r="D16" s="116" t="s">
        <v>113</v>
      </c>
      <c r="E16" s="116"/>
      <c r="F16" s="116"/>
      <c r="G16" s="116"/>
      <c r="H16" s="116"/>
      <c r="I16" s="116"/>
      <c r="J16" s="116"/>
      <c r="K16" s="116"/>
      <c r="L16" s="60"/>
    </row>
    <row r="17" spans="3:12" x14ac:dyDescent="0.3">
      <c r="C17" s="59"/>
      <c r="D17" s="116" t="s">
        <v>143</v>
      </c>
      <c r="E17" s="116"/>
      <c r="F17" s="116"/>
      <c r="G17" s="116"/>
      <c r="H17" s="116"/>
      <c r="I17" s="116"/>
      <c r="J17" s="116"/>
      <c r="K17" s="116"/>
      <c r="L17" s="60"/>
    </row>
    <row r="18" spans="3:12" x14ac:dyDescent="0.3">
      <c r="C18" s="59"/>
      <c r="D18" s="116" t="s">
        <v>144</v>
      </c>
      <c r="E18" s="116"/>
      <c r="F18" s="116"/>
      <c r="G18" s="116"/>
      <c r="H18" s="116"/>
      <c r="I18" s="116"/>
      <c r="J18" s="116"/>
      <c r="K18" s="116"/>
      <c r="L18" s="60"/>
    </row>
    <row r="19" spans="3:12" x14ac:dyDescent="0.3">
      <c r="C19" s="59"/>
      <c r="D19" s="116" t="s">
        <v>145</v>
      </c>
      <c r="E19" s="116"/>
      <c r="F19" s="116"/>
      <c r="G19" s="116"/>
      <c r="H19" s="116"/>
      <c r="I19" s="116"/>
      <c r="J19" s="116"/>
      <c r="K19" s="116"/>
      <c r="L19" s="60"/>
    </row>
    <row r="20" spans="3:12" x14ac:dyDescent="0.3">
      <c r="C20" s="59"/>
      <c r="D20" s="116" t="s">
        <v>146</v>
      </c>
      <c r="E20" s="116"/>
      <c r="F20" s="116"/>
      <c r="G20" s="116"/>
      <c r="H20" s="116"/>
      <c r="I20" s="116"/>
      <c r="J20" s="116"/>
      <c r="K20" s="116"/>
      <c r="L20" s="60"/>
    </row>
    <row r="21" spans="3:12" x14ac:dyDescent="0.3">
      <c r="C21" s="59"/>
      <c r="D21" s="116" t="s">
        <v>153</v>
      </c>
      <c r="E21" s="116"/>
      <c r="F21" s="116"/>
      <c r="G21" s="116"/>
      <c r="H21" s="116"/>
      <c r="I21" s="116"/>
      <c r="J21" s="116"/>
      <c r="K21" s="116"/>
      <c r="L21" s="60"/>
    </row>
    <row r="22" spans="3:12" x14ac:dyDescent="0.3">
      <c r="C22" s="59"/>
      <c r="D22" s="116" t="s">
        <v>154</v>
      </c>
      <c r="E22" s="116"/>
      <c r="F22" s="116"/>
      <c r="G22" s="116"/>
      <c r="H22" s="116"/>
      <c r="I22" s="116"/>
      <c r="J22" s="116"/>
      <c r="K22" s="116"/>
      <c r="L22" s="60"/>
    </row>
    <row r="23" spans="3:12" x14ac:dyDescent="0.3">
      <c r="C23" s="59"/>
      <c r="D23" s="116" t="s">
        <v>155</v>
      </c>
      <c r="E23" s="116"/>
      <c r="F23" s="116"/>
      <c r="G23" s="116"/>
      <c r="H23" s="116"/>
      <c r="I23" s="116"/>
      <c r="J23" s="116"/>
      <c r="K23" s="116"/>
      <c r="L23" s="60"/>
    </row>
    <row r="24" spans="3:12" x14ac:dyDescent="0.3">
      <c r="C24" s="59"/>
      <c r="D24" s="60"/>
      <c r="E24" s="59"/>
      <c r="F24" s="59"/>
      <c r="G24" s="59"/>
      <c r="H24" s="59"/>
      <c r="I24" s="59"/>
      <c r="J24" s="59"/>
      <c r="K24" s="59"/>
      <c r="L24" s="60"/>
    </row>
    <row r="25" spans="3:12" x14ac:dyDescent="0.3">
      <c r="C25" s="59"/>
      <c r="D25" s="60"/>
      <c r="E25" s="59"/>
      <c r="F25" s="59"/>
      <c r="G25" s="59"/>
      <c r="H25" s="59"/>
      <c r="I25" s="59"/>
      <c r="J25" s="59"/>
      <c r="K25" s="59"/>
      <c r="L25" s="59"/>
    </row>
    <row r="26" spans="3:12" ht="18" x14ac:dyDescent="0.35">
      <c r="C26" s="81" t="str">
        <f>D5</f>
        <v>Tarification incitative - Dispersion des quantités de déchets totaux collectés avec ou sans TI</v>
      </c>
      <c r="D26" s="81"/>
      <c r="E26" s="81"/>
      <c r="F26" s="81"/>
      <c r="G26" s="81"/>
      <c r="H26" s="81"/>
      <c r="I26" s="81"/>
      <c r="J26" s="81"/>
      <c r="K26" s="81"/>
      <c r="L26" s="81"/>
    </row>
    <row r="27" spans="3:12" x14ac:dyDescent="0.3">
      <c r="C27" s="106" t="s">
        <v>35</v>
      </c>
      <c r="D27" s="106"/>
      <c r="E27" s="59"/>
      <c r="F27" s="59"/>
      <c r="G27" s="59"/>
      <c r="H27" s="59"/>
      <c r="I27" s="59"/>
      <c r="J27" s="59"/>
      <c r="K27" s="59"/>
      <c r="L27" s="59"/>
    </row>
    <row r="28" spans="3:12" x14ac:dyDescent="0.3">
      <c r="C28" s="59"/>
      <c r="D28" s="59"/>
      <c r="E28" s="2" t="s">
        <v>48</v>
      </c>
      <c r="F28" s="2" t="s">
        <v>49</v>
      </c>
      <c r="G28" s="59"/>
      <c r="J28" s="59"/>
      <c r="K28" s="59"/>
      <c r="L28" s="59"/>
    </row>
    <row r="29" spans="3:12" x14ac:dyDescent="0.3">
      <c r="C29" s="59"/>
      <c r="D29" s="3" t="s">
        <v>36</v>
      </c>
      <c r="E29" s="4">
        <v>329</v>
      </c>
      <c r="F29" s="4">
        <v>129</v>
      </c>
      <c r="G29" s="59"/>
      <c r="J29" s="59"/>
      <c r="K29" s="59"/>
      <c r="L29" s="59"/>
    </row>
    <row r="30" spans="3:12" x14ac:dyDescent="0.3">
      <c r="C30" s="59"/>
      <c r="D30" s="60"/>
      <c r="E30" s="59"/>
      <c r="F30" s="59"/>
      <c r="G30" s="59"/>
      <c r="J30" s="59"/>
      <c r="K30" s="59"/>
      <c r="L30" s="59"/>
    </row>
    <row r="31" spans="3:12" x14ac:dyDescent="0.3">
      <c r="C31" s="59"/>
      <c r="D31" s="59"/>
      <c r="E31" s="2" t="s">
        <v>48</v>
      </c>
      <c r="F31" s="2" t="s">
        <v>49</v>
      </c>
      <c r="G31" s="59"/>
      <c r="J31" s="59"/>
      <c r="K31" s="59"/>
      <c r="L31" s="59"/>
    </row>
    <row r="32" spans="3:12" x14ac:dyDescent="0.3">
      <c r="C32" s="114" t="s">
        <v>114</v>
      </c>
      <c r="D32" s="46" t="s">
        <v>23</v>
      </c>
      <c r="E32" s="48">
        <v>663</v>
      </c>
      <c r="F32" s="48">
        <v>582</v>
      </c>
      <c r="G32" s="59"/>
      <c r="J32" s="59"/>
      <c r="K32" s="59"/>
      <c r="L32" s="59"/>
    </row>
    <row r="33" spans="3:12" x14ac:dyDescent="0.3">
      <c r="C33" s="114"/>
      <c r="D33" s="47" t="s">
        <v>24</v>
      </c>
      <c r="E33" s="49">
        <v>589</v>
      </c>
      <c r="F33" s="49">
        <v>503</v>
      </c>
      <c r="G33" s="59"/>
      <c r="J33" s="59"/>
      <c r="K33" s="59"/>
      <c r="L33" s="59"/>
    </row>
    <row r="34" spans="3:12" x14ac:dyDescent="0.3">
      <c r="C34" s="114"/>
      <c r="D34" s="46" t="s">
        <v>26</v>
      </c>
      <c r="E34" s="50">
        <v>533</v>
      </c>
      <c r="F34" s="50">
        <v>461</v>
      </c>
      <c r="G34" s="59"/>
      <c r="J34" s="59"/>
      <c r="K34" s="59"/>
      <c r="L34" s="59"/>
    </row>
    <row r="35" spans="3:12" x14ac:dyDescent="0.3">
      <c r="C35" s="114"/>
      <c r="D35" s="47" t="s">
        <v>27</v>
      </c>
      <c r="E35" s="51">
        <v>489</v>
      </c>
      <c r="F35" s="51">
        <v>425</v>
      </c>
      <c r="G35" s="59"/>
      <c r="J35" s="59"/>
      <c r="K35" s="59"/>
      <c r="L35" s="59"/>
    </row>
    <row r="36" spans="3:12" x14ac:dyDescent="0.3">
      <c r="C36" s="114"/>
      <c r="D36" s="46" t="s">
        <v>28</v>
      </c>
      <c r="E36" s="50">
        <v>455</v>
      </c>
      <c r="F36" s="50">
        <v>396</v>
      </c>
      <c r="G36" s="59"/>
      <c r="J36" s="59"/>
      <c r="K36" s="59"/>
      <c r="L36" s="59"/>
    </row>
    <row r="37" spans="3:12" x14ac:dyDescent="0.3">
      <c r="C37" s="59"/>
      <c r="D37" s="60"/>
      <c r="E37" s="59"/>
      <c r="F37" s="59"/>
      <c r="G37" s="59"/>
      <c r="J37" s="59"/>
      <c r="K37" s="59"/>
      <c r="L37" s="59"/>
    </row>
    <row r="38" spans="3:12" x14ac:dyDescent="0.3">
      <c r="C38" s="59"/>
      <c r="D38" s="60"/>
      <c r="E38" s="59"/>
      <c r="F38" s="59"/>
      <c r="G38" s="59"/>
      <c r="H38" s="59"/>
      <c r="I38" s="59"/>
      <c r="J38" s="59"/>
      <c r="K38" s="59"/>
      <c r="L38" s="59"/>
    </row>
    <row r="39" spans="3:12" ht="18" x14ac:dyDescent="0.35">
      <c r="C39" s="81" t="str">
        <f>D6</f>
        <v xml:space="preserve">Tarification incitative - Dispersion des quantités de déchets collectés pour les quatre principaux flux avec ou sans TI </v>
      </c>
      <c r="D39" s="81"/>
      <c r="E39" s="81"/>
      <c r="F39" s="81"/>
      <c r="G39" s="81"/>
      <c r="H39" s="81"/>
      <c r="I39" s="81"/>
      <c r="J39" s="81"/>
      <c r="K39" s="81"/>
      <c r="L39" s="81"/>
    </row>
    <row r="40" spans="3:12" x14ac:dyDescent="0.3">
      <c r="C40" s="106" t="s">
        <v>35</v>
      </c>
      <c r="D40" s="106"/>
      <c r="E40" s="59"/>
      <c r="F40" s="59"/>
      <c r="G40" s="59"/>
      <c r="H40" s="59"/>
      <c r="I40" s="59"/>
      <c r="J40" s="59"/>
      <c r="K40" s="59"/>
      <c r="L40" s="59"/>
    </row>
    <row r="41" spans="3:12" x14ac:dyDescent="0.3">
      <c r="C41" s="66"/>
      <c r="D41" s="60"/>
      <c r="E41" s="117" t="s">
        <v>5</v>
      </c>
      <c r="F41" s="118"/>
      <c r="G41" s="117" t="s">
        <v>6</v>
      </c>
      <c r="H41" s="118"/>
      <c r="I41" s="117" t="s">
        <v>7</v>
      </c>
      <c r="J41" s="118"/>
      <c r="K41" s="117" t="s">
        <v>8</v>
      </c>
      <c r="L41" s="118"/>
    </row>
    <row r="42" spans="3:12" x14ac:dyDescent="0.3">
      <c r="C42" s="59"/>
      <c r="D42" s="59"/>
      <c r="E42" s="2" t="s">
        <v>48</v>
      </c>
      <c r="F42" s="2" t="s">
        <v>49</v>
      </c>
      <c r="G42" s="2" t="s">
        <v>48</v>
      </c>
      <c r="H42" s="2" t="s">
        <v>49</v>
      </c>
      <c r="I42" s="2" t="s">
        <v>48</v>
      </c>
      <c r="J42" s="2" t="s">
        <v>49</v>
      </c>
      <c r="K42" s="2" t="s">
        <v>48</v>
      </c>
      <c r="L42" s="2" t="s">
        <v>49</v>
      </c>
    </row>
    <row r="43" spans="3:12" x14ac:dyDescent="0.3">
      <c r="C43" s="59"/>
      <c r="D43" s="3" t="s">
        <v>36</v>
      </c>
      <c r="E43" s="4">
        <v>329</v>
      </c>
      <c r="F43" s="4">
        <v>129</v>
      </c>
      <c r="G43" s="4">
        <v>329</v>
      </c>
      <c r="H43" s="4">
        <v>129</v>
      </c>
      <c r="I43" s="4">
        <v>329</v>
      </c>
      <c r="J43" s="4">
        <v>129</v>
      </c>
      <c r="K43" s="4">
        <v>329</v>
      </c>
      <c r="L43" s="4">
        <v>129</v>
      </c>
    </row>
    <row r="44" spans="3:12" x14ac:dyDescent="0.3">
      <c r="C44" s="59"/>
      <c r="D44" s="60"/>
      <c r="E44" s="59"/>
      <c r="F44" s="59"/>
      <c r="G44" s="59"/>
      <c r="H44" s="59"/>
      <c r="I44" s="59"/>
      <c r="J44" s="59"/>
      <c r="K44" s="59"/>
      <c r="L44" s="59"/>
    </row>
    <row r="45" spans="3:12" x14ac:dyDescent="0.3">
      <c r="C45" s="59"/>
      <c r="D45" s="60"/>
      <c r="E45" s="117" t="s">
        <v>5</v>
      </c>
      <c r="F45" s="118"/>
      <c r="G45" s="117" t="s">
        <v>6</v>
      </c>
      <c r="H45" s="118"/>
      <c r="I45" s="117" t="s">
        <v>7</v>
      </c>
      <c r="J45" s="118"/>
      <c r="K45" s="117" t="s">
        <v>8</v>
      </c>
      <c r="L45" s="118"/>
    </row>
    <row r="46" spans="3:12" x14ac:dyDescent="0.3">
      <c r="C46" s="59"/>
      <c r="D46" s="59"/>
      <c r="E46" s="2" t="s">
        <v>48</v>
      </c>
      <c r="F46" s="2" t="s">
        <v>49</v>
      </c>
      <c r="G46" s="2" t="s">
        <v>48</v>
      </c>
      <c r="H46" s="2" t="s">
        <v>49</v>
      </c>
      <c r="I46" s="2" t="s">
        <v>48</v>
      </c>
      <c r="J46" s="2" t="s">
        <v>49</v>
      </c>
      <c r="K46" s="2" t="s">
        <v>48</v>
      </c>
      <c r="L46" s="2" t="s">
        <v>49</v>
      </c>
    </row>
    <row r="47" spans="3:12" x14ac:dyDescent="0.3">
      <c r="C47" s="122" t="s">
        <v>114</v>
      </c>
      <c r="D47" s="46" t="s">
        <v>23</v>
      </c>
      <c r="E47" s="48">
        <v>252</v>
      </c>
      <c r="F47" s="48">
        <v>159</v>
      </c>
      <c r="G47" s="48">
        <v>52</v>
      </c>
      <c r="H47" s="48">
        <v>55</v>
      </c>
      <c r="I47" s="48">
        <v>70</v>
      </c>
      <c r="J47" s="48">
        <v>73</v>
      </c>
      <c r="K47" s="48">
        <v>315</v>
      </c>
      <c r="L47" s="48">
        <v>296</v>
      </c>
    </row>
    <row r="48" spans="3:12" x14ac:dyDescent="0.3">
      <c r="C48" s="122"/>
      <c r="D48" s="47" t="s">
        <v>24</v>
      </c>
      <c r="E48" s="49">
        <v>225.5</v>
      </c>
      <c r="F48" s="49">
        <v>138</v>
      </c>
      <c r="G48" s="49">
        <v>45</v>
      </c>
      <c r="H48" s="49">
        <v>49</v>
      </c>
      <c r="I48" s="49">
        <v>62</v>
      </c>
      <c r="J48" s="49">
        <v>67</v>
      </c>
      <c r="K48" s="49">
        <v>274.5</v>
      </c>
      <c r="L48" s="49">
        <v>255.5</v>
      </c>
    </row>
    <row r="49" spans="3:12" x14ac:dyDescent="0.3">
      <c r="C49" s="122"/>
      <c r="D49" s="46" t="s">
        <v>26</v>
      </c>
      <c r="E49" s="50">
        <v>196</v>
      </c>
      <c r="F49" s="50">
        <v>113</v>
      </c>
      <c r="G49" s="50">
        <v>38</v>
      </c>
      <c r="H49" s="50">
        <v>45</v>
      </c>
      <c r="I49" s="50">
        <v>53</v>
      </c>
      <c r="J49" s="50">
        <v>62</v>
      </c>
      <c r="K49" s="50">
        <v>226</v>
      </c>
      <c r="L49" s="50">
        <v>224</v>
      </c>
    </row>
    <row r="50" spans="3:12" x14ac:dyDescent="0.3">
      <c r="C50" s="122"/>
      <c r="D50" s="47" t="s">
        <v>27</v>
      </c>
      <c r="E50" s="51">
        <v>173</v>
      </c>
      <c r="F50" s="51">
        <v>98.5</v>
      </c>
      <c r="G50" s="51">
        <v>34</v>
      </c>
      <c r="H50" s="51">
        <v>40.5</v>
      </c>
      <c r="I50" s="51">
        <v>45</v>
      </c>
      <c r="J50" s="51">
        <v>54</v>
      </c>
      <c r="K50" s="51">
        <v>184.5</v>
      </c>
      <c r="L50" s="51">
        <v>188.5</v>
      </c>
    </row>
    <row r="51" spans="3:12" x14ac:dyDescent="0.3">
      <c r="C51" s="122"/>
      <c r="D51" s="46" t="s">
        <v>28</v>
      </c>
      <c r="E51" s="50">
        <v>147</v>
      </c>
      <c r="F51" s="50">
        <v>88</v>
      </c>
      <c r="G51" s="50">
        <v>30</v>
      </c>
      <c r="H51" s="50">
        <v>36</v>
      </c>
      <c r="I51" s="50">
        <v>36</v>
      </c>
      <c r="J51" s="50">
        <v>49</v>
      </c>
      <c r="K51" s="50">
        <v>158</v>
      </c>
      <c r="L51" s="50">
        <v>155</v>
      </c>
    </row>
    <row r="52" spans="3:12" x14ac:dyDescent="0.3">
      <c r="C52" s="59"/>
      <c r="D52" s="60"/>
      <c r="E52" s="59"/>
      <c r="F52" s="59"/>
      <c r="G52" s="59"/>
      <c r="H52" s="59"/>
      <c r="I52" s="59"/>
      <c r="J52" s="59"/>
      <c r="K52" s="59"/>
      <c r="L52" s="59"/>
    </row>
    <row r="53" spans="3:12" x14ac:dyDescent="0.3">
      <c r="C53" s="59"/>
      <c r="D53" s="60"/>
      <c r="E53" s="59"/>
      <c r="F53" s="59"/>
      <c r="G53" s="59"/>
      <c r="H53" s="59"/>
      <c r="I53" s="59"/>
      <c r="J53" s="59"/>
      <c r="K53" s="59"/>
      <c r="L53" s="59"/>
    </row>
    <row r="54" spans="3:12" ht="18" x14ac:dyDescent="0.35">
      <c r="C54" s="81" t="str">
        <f>D7</f>
        <v>Tarification incitative - Dispersion des quantités de déchets totaux collectés par typologie d'habitat avec ou sans TI</v>
      </c>
      <c r="D54" s="81"/>
      <c r="E54" s="81"/>
      <c r="F54" s="81"/>
      <c r="G54" s="81"/>
      <c r="H54" s="81"/>
      <c r="I54" s="81"/>
      <c r="J54" s="81"/>
      <c r="K54" s="81"/>
      <c r="L54" s="81"/>
    </row>
    <row r="55" spans="3:12" x14ac:dyDescent="0.3">
      <c r="C55" s="106" t="s">
        <v>35</v>
      </c>
      <c r="D55" s="106"/>
      <c r="E55" s="59"/>
      <c r="F55" s="59"/>
      <c r="G55" s="59"/>
      <c r="H55" s="59"/>
      <c r="I55" s="59"/>
      <c r="J55" s="59"/>
      <c r="K55" s="59"/>
      <c r="L55" s="59"/>
    </row>
    <row r="56" spans="3:12" x14ac:dyDescent="0.3">
      <c r="C56" s="66"/>
      <c r="E56" s="117" t="s">
        <v>14</v>
      </c>
      <c r="F56" s="118"/>
      <c r="G56" s="117" t="s">
        <v>15</v>
      </c>
      <c r="H56" s="118"/>
      <c r="I56" s="117" t="s">
        <v>16</v>
      </c>
      <c r="J56" s="118"/>
      <c r="K56" s="59"/>
      <c r="L56" s="59"/>
    </row>
    <row r="57" spans="3:12" x14ac:dyDescent="0.3">
      <c r="C57" s="59"/>
      <c r="D57"/>
      <c r="E57" s="2" t="s">
        <v>48</v>
      </c>
      <c r="F57" s="2" t="s">
        <v>49</v>
      </c>
      <c r="G57" s="2" t="s">
        <v>48</v>
      </c>
      <c r="H57" s="2" t="s">
        <v>49</v>
      </c>
      <c r="I57" s="2" t="s">
        <v>48</v>
      </c>
      <c r="J57" s="2" t="s">
        <v>49</v>
      </c>
      <c r="K57" s="59"/>
      <c r="L57" s="59"/>
    </row>
    <row r="58" spans="3:12" x14ac:dyDescent="0.3">
      <c r="C58" s="59"/>
      <c r="D58" s="3" t="s">
        <v>36</v>
      </c>
      <c r="E58" s="4">
        <v>152</v>
      </c>
      <c r="F58" s="4">
        <v>58</v>
      </c>
      <c r="G58" s="4">
        <v>125</v>
      </c>
      <c r="H58" s="4">
        <v>57</v>
      </c>
      <c r="I58" s="4">
        <v>52</v>
      </c>
      <c r="J58" s="4">
        <v>14</v>
      </c>
      <c r="K58" s="59"/>
      <c r="L58" s="59"/>
    </row>
    <row r="59" spans="3:12" x14ac:dyDescent="0.3">
      <c r="C59" s="59"/>
      <c r="D59" s="60"/>
      <c r="E59" s="59"/>
      <c r="F59" s="59"/>
      <c r="G59" s="59"/>
      <c r="H59" s="59"/>
      <c r="I59" s="59"/>
      <c r="J59" s="59"/>
      <c r="K59" s="59"/>
      <c r="L59" s="59"/>
    </row>
    <row r="60" spans="3:12" ht="14.4" customHeight="1" x14ac:dyDescent="0.3">
      <c r="C60" s="59"/>
      <c r="D60" s="60"/>
      <c r="E60" s="117" t="s">
        <v>14</v>
      </c>
      <c r="F60" s="118"/>
      <c r="G60" s="117" t="s">
        <v>15</v>
      </c>
      <c r="H60" s="118"/>
      <c r="I60" s="117" t="s">
        <v>16</v>
      </c>
      <c r="J60" s="118"/>
      <c r="K60" s="59"/>
      <c r="L60" s="59"/>
    </row>
    <row r="61" spans="3:12" x14ac:dyDescent="0.3">
      <c r="C61" s="59"/>
      <c r="D61" s="59"/>
      <c r="E61" s="2" t="s">
        <v>48</v>
      </c>
      <c r="F61" s="2" t="s">
        <v>49</v>
      </c>
      <c r="G61" s="2" t="s">
        <v>48</v>
      </c>
      <c r="H61" s="2" t="s">
        <v>49</v>
      </c>
      <c r="I61" s="2" t="s">
        <v>48</v>
      </c>
      <c r="J61" s="2" t="s">
        <v>49</v>
      </c>
      <c r="K61" s="59"/>
      <c r="L61" s="59"/>
    </row>
    <row r="62" spans="3:12" x14ac:dyDescent="0.3">
      <c r="C62" s="122" t="s">
        <v>114</v>
      </c>
      <c r="D62" s="46" t="s">
        <v>23</v>
      </c>
      <c r="E62" s="48">
        <v>644</v>
      </c>
      <c r="F62" s="48">
        <v>567.59999999999945</v>
      </c>
      <c r="G62" s="48">
        <v>672.19999999999845</v>
      </c>
      <c r="H62" s="48">
        <v>580.79999999999961</v>
      </c>
      <c r="I62" s="48">
        <v>708.90000000000066</v>
      </c>
      <c r="J62" s="48">
        <v>734</v>
      </c>
      <c r="K62" s="59"/>
      <c r="L62" s="59"/>
    </row>
    <row r="63" spans="3:12" x14ac:dyDescent="0.3">
      <c r="C63" s="122"/>
      <c r="D63" s="47" t="s">
        <v>24</v>
      </c>
      <c r="E63" s="49">
        <v>578.75</v>
      </c>
      <c r="F63" s="49">
        <v>502.25</v>
      </c>
      <c r="G63" s="49">
        <v>597.5</v>
      </c>
      <c r="H63" s="49">
        <v>512.5</v>
      </c>
      <c r="I63" s="49">
        <v>622</v>
      </c>
      <c r="J63" s="49">
        <v>518.5</v>
      </c>
      <c r="K63" s="59"/>
      <c r="L63" s="59"/>
    </row>
    <row r="64" spans="3:12" x14ac:dyDescent="0.3">
      <c r="C64" s="122"/>
      <c r="D64" s="46" t="s">
        <v>26</v>
      </c>
      <c r="E64" s="50">
        <v>526.5</v>
      </c>
      <c r="F64" s="50">
        <v>455.5</v>
      </c>
      <c r="G64" s="50">
        <v>535</v>
      </c>
      <c r="H64" s="50">
        <v>464</v>
      </c>
      <c r="I64" s="50">
        <v>546</v>
      </c>
      <c r="J64" s="50">
        <v>482.5</v>
      </c>
      <c r="K64" s="59"/>
      <c r="L64" s="59"/>
    </row>
    <row r="65" spans="3:12" x14ac:dyDescent="0.3">
      <c r="C65" s="122"/>
      <c r="D65" s="47" t="s">
        <v>27</v>
      </c>
      <c r="E65" s="51">
        <v>489</v>
      </c>
      <c r="F65" s="51">
        <v>430.75</v>
      </c>
      <c r="G65" s="51">
        <v>489.5</v>
      </c>
      <c r="H65" s="51">
        <v>419</v>
      </c>
      <c r="I65" s="51">
        <v>486</v>
      </c>
      <c r="J65" s="51">
        <v>449.25</v>
      </c>
      <c r="K65" s="59"/>
      <c r="L65" s="59"/>
    </row>
    <row r="66" spans="3:12" x14ac:dyDescent="0.3">
      <c r="C66" s="122"/>
      <c r="D66" s="46" t="s">
        <v>28</v>
      </c>
      <c r="E66" s="50">
        <v>447.30000000000126</v>
      </c>
      <c r="F66" s="50">
        <v>396</v>
      </c>
      <c r="G66" s="50">
        <v>455.59999999999906</v>
      </c>
      <c r="H66" s="50">
        <v>383.20000000000039</v>
      </c>
      <c r="I66" s="50">
        <v>463.29999999999956</v>
      </c>
      <c r="J66" s="50">
        <v>413</v>
      </c>
      <c r="K66" s="59"/>
      <c r="L66" s="59"/>
    </row>
    <row r="67" spans="3:12" x14ac:dyDescent="0.3">
      <c r="C67" s="59"/>
      <c r="D67" s="60"/>
      <c r="E67" s="59"/>
      <c r="F67" s="59"/>
      <c r="G67" s="59"/>
      <c r="H67" s="59"/>
      <c r="I67" s="59"/>
      <c r="J67" s="59"/>
      <c r="K67" s="59"/>
      <c r="L67" s="59"/>
    </row>
    <row r="68" spans="3:12" x14ac:dyDescent="0.3">
      <c r="C68" s="59"/>
      <c r="D68" s="60"/>
      <c r="E68" s="59"/>
      <c r="F68" s="59"/>
      <c r="G68" s="59"/>
      <c r="H68" s="59"/>
      <c r="I68" s="59"/>
      <c r="J68" s="59"/>
      <c r="K68" s="59"/>
      <c r="L68" s="59"/>
    </row>
    <row r="69" spans="3:12" ht="18" x14ac:dyDescent="0.35">
      <c r="C69" s="81" t="str">
        <f>D8</f>
        <v>Tarification incitative - Dispersion des quantités d'OMR collectées par typologie d'habitat avec ou sans TI</v>
      </c>
      <c r="D69" s="81"/>
      <c r="E69" s="81"/>
      <c r="F69" s="81"/>
      <c r="G69" s="81"/>
      <c r="H69" s="81"/>
      <c r="I69" s="81"/>
      <c r="J69" s="81"/>
      <c r="K69" s="81"/>
      <c r="L69" s="81"/>
    </row>
    <row r="70" spans="3:12" x14ac:dyDescent="0.3">
      <c r="C70" s="106" t="s">
        <v>35</v>
      </c>
      <c r="D70" s="106"/>
      <c r="E70" s="59"/>
      <c r="F70" s="59"/>
      <c r="G70" s="59"/>
      <c r="H70" s="59"/>
      <c r="I70" s="59"/>
      <c r="J70" s="59"/>
      <c r="K70" s="59"/>
      <c r="L70" s="59"/>
    </row>
    <row r="71" spans="3:12" x14ac:dyDescent="0.3">
      <c r="C71" s="66"/>
      <c r="E71" s="117" t="s">
        <v>14</v>
      </c>
      <c r="F71" s="118"/>
      <c r="G71" s="117" t="s">
        <v>15</v>
      </c>
      <c r="H71" s="118"/>
      <c r="I71" s="117" t="s">
        <v>16</v>
      </c>
      <c r="J71" s="118"/>
      <c r="K71" s="59"/>
      <c r="L71" s="59"/>
    </row>
    <row r="72" spans="3:12" x14ac:dyDescent="0.3">
      <c r="C72" s="59"/>
      <c r="D72"/>
      <c r="E72" s="2" t="s">
        <v>48</v>
      </c>
      <c r="F72" s="2" t="s">
        <v>49</v>
      </c>
      <c r="G72" s="2" t="s">
        <v>48</v>
      </c>
      <c r="H72" s="2" t="s">
        <v>49</v>
      </c>
      <c r="I72" s="2" t="s">
        <v>48</v>
      </c>
      <c r="J72" s="2" t="s">
        <v>49</v>
      </c>
      <c r="K72" s="59"/>
      <c r="L72" s="59"/>
    </row>
    <row r="73" spans="3:12" x14ac:dyDescent="0.3">
      <c r="C73" s="59"/>
      <c r="D73" s="3" t="s">
        <v>36</v>
      </c>
      <c r="E73" s="4">
        <v>152</v>
      </c>
      <c r="F73" s="4">
        <v>58</v>
      </c>
      <c r="G73" s="4">
        <v>125</v>
      </c>
      <c r="H73" s="4">
        <v>57</v>
      </c>
      <c r="I73" s="4">
        <v>52</v>
      </c>
      <c r="J73" s="4">
        <v>14</v>
      </c>
      <c r="K73" s="59"/>
      <c r="L73" s="59"/>
    </row>
    <row r="74" spans="3:12" x14ac:dyDescent="0.3">
      <c r="C74" s="59"/>
      <c r="D74" s="60"/>
      <c r="E74" s="59"/>
      <c r="F74" s="59"/>
      <c r="G74" s="59"/>
      <c r="H74" s="59"/>
      <c r="I74" s="59"/>
      <c r="J74" s="59"/>
      <c r="K74" s="59"/>
      <c r="L74" s="59"/>
    </row>
    <row r="75" spans="3:12" ht="14.4" customHeight="1" x14ac:dyDescent="0.3">
      <c r="C75" s="59"/>
      <c r="D75" s="60"/>
      <c r="E75" s="117" t="s">
        <v>14</v>
      </c>
      <c r="F75" s="118"/>
      <c r="G75" s="117" t="s">
        <v>15</v>
      </c>
      <c r="H75" s="118"/>
      <c r="I75" s="117" t="s">
        <v>16</v>
      </c>
      <c r="J75" s="118"/>
      <c r="K75" s="59"/>
      <c r="L75" s="59"/>
    </row>
    <row r="76" spans="3:12" x14ac:dyDescent="0.3">
      <c r="C76" s="59"/>
      <c r="D76" s="59"/>
      <c r="E76" s="2" t="s">
        <v>48</v>
      </c>
      <c r="F76" s="2" t="s">
        <v>49</v>
      </c>
      <c r="G76" s="2" t="s">
        <v>48</v>
      </c>
      <c r="H76" s="2" t="s">
        <v>49</v>
      </c>
      <c r="I76" s="2" t="s">
        <v>48</v>
      </c>
      <c r="J76" s="2" t="s">
        <v>49</v>
      </c>
      <c r="K76" s="59"/>
      <c r="L76" s="59"/>
    </row>
    <row r="77" spans="3:12" x14ac:dyDescent="0.3">
      <c r="C77" s="122" t="s">
        <v>114</v>
      </c>
      <c r="D77" s="46" t="s">
        <v>23</v>
      </c>
      <c r="E77" s="48">
        <v>232.70000000000024</v>
      </c>
      <c r="F77" s="48">
        <v>152.30000000000007</v>
      </c>
      <c r="G77" s="48">
        <v>265.79999999999956</v>
      </c>
      <c r="H77" s="48">
        <v>160.39999999999984</v>
      </c>
      <c r="I77" s="48">
        <v>282.39999999999975</v>
      </c>
      <c r="J77" s="48">
        <v>222</v>
      </c>
      <c r="K77" s="59"/>
      <c r="L77" s="59"/>
    </row>
    <row r="78" spans="3:12" x14ac:dyDescent="0.3">
      <c r="C78" s="122"/>
      <c r="D78" s="47" t="s">
        <v>24</v>
      </c>
      <c r="E78" s="49">
        <v>212</v>
      </c>
      <c r="F78" s="49">
        <v>133.5</v>
      </c>
      <c r="G78" s="49">
        <v>228</v>
      </c>
      <c r="H78" s="49">
        <v>136.5</v>
      </c>
      <c r="I78" s="49">
        <v>248.75</v>
      </c>
      <c r="J78" s="49">
        <v>181.25</v>
      </c>
      <c r="K78" s="59"/>
      <c r="L78" s="59"/>
    </row>
    <row r="79" spans="3:12" x14ac:dyDescent="0.3">
      <c r="C79" s="122"/>
      <c r="D79" s="46" t="s">
        <v>26</v>
      </c>
      <c r="E79" s="50">
        <v>189</v>
      </c>
      <c r="F79" s="50">
        <v>113.5</v>
      </c>
      <c r="G79" s="50">
        <v>205</v>
      </c>
      <c r="H79" s="50">
        <v>112</v>
      </c>
      <c r="I79" s="50">
        <v>216.5</v>
      </c>
      <c r="J79" s="50">
        <v>139.5</v>
      </c>
      <c r="K79" s="59"/>
      <c r="L79" s="59"/>
    </row>
    <row r="80" spans="3:12" x14ac:dyDescent="0.3">
      <c r="C80" s="122"/>
      <c r="D80" s="47" t="s">
        <v>27</v>
      </c>
      <c r="E80" s="51">
        <v>159</v>
      </c>
      <c r="F80" s="51">
        <v>98.75</v>
      </c>
      <c r="G80" s="51">
        <v>181.5</v>
      </c>
      <c r="H80" s="51">
        <v>98</v>
      </c>
      <c r="I80" s="51">
        <v>183</v>
      </c>
      <c r="J80" s="51">
        <v>101.75</v>
      </c>
      <c r="K80" s="59"/>
      <c r="L80" s="59"/>
    </row>
    <row r="81" spans="3:12" x14ac:dyDescent="0.3">
      <c r="C81" s="122"/>
      <c r="D81" s="46" t="s">
        <v>28</v>
      </c>
      <c r="E81" s="50">
        <v>135.20000000000039</v>
      </c>
      <c r="F81" s="50">
        <v>88.600000000000023</v>
      </c>
      <c r="G81" s="50">
        <v>160.20000000000039</v>
      </c>
      <c r="H81" s="50">
        <v>81.800000000000082</v>
      </c>
      <c r="I81" s="50">
        <v>165.19999999999993</v>
      </c>
      <c r="J81" s="50">
        <v>92</v>
      </c>
      <c r="K81" s="59"/>
      <c r="L81" s="59"/>
    </row>
    <row r="82" spans="3:12" x14ac:dyDescent="0.3">
      <c r="C82" s="59"/>
      <c r="D82" s="60"/>
      <c r="E82" s="59"/>
      <c r="F82" s="59"/>
      <c r="G82" s="59"/>
      <c r="H82" s="59"/>
      <c r="I82" s="59"/>
      <c r="J82" s="59"/>
      <c r="K82" s="59"/>
      <c r="L82" s="59"/>
    </row>
    <row r="83" spans="3:12" x14ac:dyDescent="0.3">
      <c r="C83" s="59"/>
      <c r="D83" s="60"/>
      <c r="E83" s="59"/>
      <c r="F83" s="59"/>
      <c r="G83" s="59"/>
      <c r="H83" s="59"/>
      <c r="I83" s="59"/>
      <c r="J83" s="59"/>
      <c r="K83" s="59"/>
      <c r="L83" s="59"/>
    </row>
    <row r="84" spans="3:12" ht="18" x14ac:dyDescent="0.35">
      <c r="C84" s="81" t="str">
        <f>D9</f>
        <v>Tarification incitative - Dispersion des quantités de verre collectées par typologie d'habitat avec ou sans TI</v>
      </c>
      <c r="D84" s="81"/>
      <c r="E84" s="81"/>
      <c r="F84" s="81"/>
      <c r="G84" s="81"/>
      <c r="H84" s="81"/>
      <c r="I84" s="81"/>
      <c r="J84" s="81"/>
      <c r="K84" s="81"/>
      <c r="L84" s="81"/>
    </row>
    <row r="85" spans="3:12" x14ac:dyDescent="0.3">
      <c r="C85" s="106" t="s">
        <v>35</v>
      </c>
      <c r="D85" s="106"/>
      <c r="E85" s="59"/>
      <c r="F85" s="59"/>
      <c r="G85" s="59"/>
      <c r="H85" s="59"/>
      <c r="I85" s="59"/>
      <c r="J85" s="59"/>
      <c r="K85" s="59"/>
      <c r="L85" s="59"/>
    </row>
    <row r="86" spans="3:12" x14ac:dyDescent="0.3">
      <c r="C86" s="66"/>
      <c r="E86" s="117" t="s">
        <v>14</v>
      </c>
      <c r="F86" s="118"/>
      <c r="G86" s="117" t="s">
        <v>15</v>
      </c>
      <c r="H86" s="118"/>
      <c r="I86" s="117" t="s">
        <v>16</v>
      </c>
      <c r="J86" s="118"/>
      <c r="K86" s="59"/>
      <c r="L86" s="59"/>
    </row>
    <row r="87" spans="3:12" x14ac:dyDescent="0.3">
      <c r="C87" s="59"/>
      <c r="D87"/>
      <c r="E87" s="2" t="s">
        <v>48</v>
      </c>
      <c r="F87" s="2" t="s">
        <v>49</v>
      </c>
      <c r="G87" s="2" t="s">
        <v>48</v>
      </c>
      <c r="H87" s="2" t="s">
        <v>49</v>
      </c>
      <c r="I87" s="2" t="s">
        <v>48</v>
      </c>
      <c r="J87" s="2" t="s">
        <v>49</v>
      </c>
      <c r="K87" s="59"/>
      <c r="L87" s="59"/>
    </row>
    <row r="88" spans="3:12" x14ac:dyDescent="0.3">
      <c r="C88" s="59"/>
      <c r="D88" s="3" t="s">
        <v>36</v>
      </c>
      <c r="E88" s="4">
        <v>152</v>
      </c>
      <c r="F88" s="4">
        <v>58</v>
      </c>
      <c r="G88" s="4">
        <v>125</v>
      </c>
      <c r="H88" s="4">
        <v>57</v>
      </c>
      <c r="I88" s="4">
        <v>52</v>
      </c>
      <c r="J88" s="4">
        <v>14</v>
      </c>
      <c r="K88" s="59"/>
      <c r="L88" s="59"/>
    </row>
    <row r="89" spans="3:12" x14ac:dyDescent="0.3">
      <c r="C89" s="59"/>
      <c r="D89" s="60"/>
      <c r="E89" s="59"/>
      <c r="F89" s="59"/>
      <c r="G89" s="59"/>
      <c r="H89" s="59"/>
      <c r="I89" s="59"/>
      <c r="J89" s="59"/>
      <c r="K89" s="59"/>
      <c r="L89" s="59"/>
    </row>
    <row r="90" spans="3:12" ht="14.4" customHeight="1" x14ac:dyDescent="0.3">
      <c r="C90" s="59"/>
      <c r="D90" s="60"/>
      <c r="E90" s="117" t="s">
        <v>14</v>
      </c>
      <c r="F90" s="118"/>
      <c r="G90" s="117" t="s">
        <v>15</v>
      </c>
      <c r="H90" s="118"/>
      <c r="I90" s="117" t="s">
        <v>16</v>
      </c>
      <c r="J90" s="118"/>
      <c r="K90" s="59"/>
      <c r="L90" s="59"/>
    </row>
    <row r="91" spans="3:12" x14ac:dyDescent="0.3">
      <c r="C91" s="59"/>
      <c r="D91" s="59"/>
      <c r="E91" s="2" t="s">
        <v>48</v>
      </c>
      <c r="F91" s="2" t="s">
        <v>49</v>
      </c>
      <c r="G91" s="2" t="s">
        <v>48</v>
      </c>
      <c r="H91" s="2" t="s">
        <v>49</v>
      </c>
      <c r="I91" s="2" t="s">
        <v>48</v>
      </c>
      <c r="J91" s="2" t="s">
        <v>49</v>
      </c>
      <c r="K91" s="59"/>
      <c r="L91" s="59"/>
    </row>
    <row r="92" spans="3:12" x14ac:dyDescent="0.3">
      <c r="C92" s="122" t="s">
        <v>114</v>
      </c>
      <c r="D92" s="46" t="s">
        <v>23</v>
      </c>
      <c r="E92" s="48">
        <v>52.699999999999875</v>
      </c>
      <c r="F92" s="48">
        <v>52.099999999999952</v>
      </c>
      <c r="G92" s="48">
        <v>52</v>
      </c>
      <c r="H92" s="48">
        <v>57</v>
      </c>
      <c r="I92" s="48">
        <v>51.900000000000055</v>
      </c>
      <c r="J92" s="48">
        <v>61</v>
      </c>
      <c r="K92" s="59"/>
      <c r="L92" s="59"/>
    </row>
    <row r="93" spans="3:12" x14ac:dyDescent="0.3">
      <c r="C93" s="122"/>
      <c r="D93" s="47" t="s">
        <v>24</v>
      </c>
      <c r="E93" s="49">
        <v>47</v>
      </c>
      <c r="F93" s="49">
        <v>49</v>
      </c>
      <c r="G93" s="49">
        <v>43</v>
      </c>
      <c r="H93" s="49">
        <v>50</v>
      </c>
      <c r="I93" s="49">
        <v>38</v>
      </c>
      <c r="J93" s="49">
        <v>44.25</v>
      </c>
      <c r="K93" s="59"/>
      <c r="L93" s="59"/>
    </row>
    <row r="94" spans="3:12" x14ac:dyDescent="0.3">
      <c r="C94" s="122"/>
      <c r="D94" s="46" t="s">
        <v>26</v>
      </c>
      <c r="E94" s="50">
        <v>41</v>
      </c>
      <c r="F94" s="50">
        <v>45</v>
      </c>
      <c r="G94" s="50">
        <v>36</v>
      </c>
      <c r="H94" s="50">
        <v>45</v>
      </c>
      <c r="I94" s="50">
        <v>32.5</v>
      </c>
      <c r="J94" s="50">
        <v>36.5</v>
      </c>
      <c r="K94" s="59"/>
      <c r="L94" s="59"/>
    </row>
    <row r="95" spans="3:12" x14ac:dyDescent="0.3">
      <c r="C95" s="122"/>
      <c r="D95" s="47" t="s">
        <v>27</v>
      </c>
      <c r="E95" s="51">
        <v>37</v>
      </c>
      <c r="F95" s="51">
        <v>42</v>
      </c>
      <c r="G95" s="51">
        <v>32</v>
      </c>
      <c r="H95" s="51">
        <v>41</v>
      </c>
      <c r="I95" s="51">
        <v>29.25</v>
      </c>
      <c r="J95" s="51">
        <v>31.75</v>
      </c>
      <c r="K95" s="59"/>
      <c r="L95" s="59"/>
    </row>
    <row r="96" spans="3:12" x14ac:dyDescent="0.3">
      <c r="C96" s="122"/>
      <c r="D96" s="46" t="s">
        <v>28</v>
      </c>
      <c r="E96" s="50">
        <v>33</v>
      </c>
      <c r="F96" s="50">
        <v>39.900000000000041</v>
      </c>
      <c r="G96" s="50">
        <v>29</v>
      </c>
      <c r="H96" s="50">
        <v>36</v>
      </c>
      <c r="I96" s="50">
        <v>27</v>
      </c>
      <c r="J96" s="50">
        <v>28.5</v>
      </c>
      <c r="K96" s="59"/>
      <c r="L96" s="59"/>
    </row>
    <row r="97" spans="3:12" x14ac:dyDescent="0.3">
      <c r="C97" s="59"/>
      <c r="D97" s="60"/>
      <c r="E97" s="59"/>
      <c r="F97" s="59"/>
      <c r="G97" s="59"/>
      <c r="H97" s="59"/>
      <c r="I97" s="59"/>
      <c r="J97" s="59"/>
      <c r="K97" s="59"/>
      <c r="L97" s="59"/>
    </row>
    <row r="98" spans="3:12" x14ac:dyDescent="0.3">
      <c r="C98" s="59"/>
      <c r="D98" s="60"/>
      <c r="E98" s="59"/>
      <c r="F98" s="59"/>
      <c r="G98" s="59"/>
      <c r="H98" s="59"/>
      <c r="I98" s="59"/>
      <c r="J98" s="59"/>
      <c r="K98" s="59"/>
      <c r="L98" s="59"/>
    </row>
    <row r="99" spans="3:12" ht="18" x14ac:dyDescent="0.35">
      <c r="C99" s="81" t="str">
        <f>D10</f>
        <v>Tarification incitative - Dispersion des quantités de PEHV collectées par typologie d'habitat avec ou sans TI</v>
      </c>
      <c r="D99" s="81"/>
      <c r="E99" s="81"/>
      <c r="F99" s="81"/>
      <c r="G99" s="81"/>
      <c r="H99" s="81"/>
      <c r="I99" s="81"/>
      <c r="J99" s="81"/>
      <c r="K99" s="81"/>
      <c r="L99" s="81"/>
    </row>
    <row r="100" spans="3:12" x14ac:dyDescent="0.3">
      <c r="C100" s="106" t="s">
        <v>35</v>
      </c>
      <c r="D100" s="106"/>
      <c r="E100" s="59"/>
      <c r="F100" s="59"/>
      <c r="G100" s="59"/>
      <c r="H100" s="59"/>
      <c r="I100" s="59"/>
      <c r="J100" s="59"/>
      <c r="K100" s="59"/>
      <c r="L100" s="59"/>
    </row>
    <row r="101" spans="3:12" x14ac:dyDescent="0.3">
      <c r="C101" s="66"/>
      <c r="E101" s="117" t="s">
        <v>14</v>
      </c>
      <c r="F101" s="118"/>
      <c r="G101" s="117" t="s">
        <v>15</v>
      </c>
      <c r="H101" s="118"/>
      <c r="I101" s="117" t="s">
        <v>16</v>
      </c>
      <c r="J101" s="118"/>
      <c r="K101" s="59"/>
      <c r="L101" s="59"/>
    </row>
    <row r="102" spans="3:12" x14ac:dyDescent="0.3">
      <c r="C102" s="59"/>
      <c r="D102"/>
      <c r="E102" s="2" t="s">
        <v>48</v>
      </c>
      <c r="F102" s="2" t="s">
        <v>49</v>
      </c>
      <c r="G102" s="2" t="s">
        <v>48</v>
      </c>
      <c r="H102" s="2" t="s">
        <v>49</v>
      </c>
      <c r="I102" s="2" t="s">
        <v>48</v>
      </c>
      <c r="J102" s="2" t="s">
        <v>49</v>
      </c>
      <c r="K102" s="59"/>
      <c r="L102" s="59"/>
    </row>
    <row r="103" spans="3:12" x14ac:dyDescent="0.3">
      <c r="C103" s="59"/>
      <c r="D103" s="3" t="s">
        <v>36</v>
      </c>
      <c r="E103" s="4">
        <v>152</v>
      </c>
      <c r="F103" s="4">
        <v>58</v>
      </c>
      <c r="G103" s="4">
        <v>125</v>
      </c>
      <c r="H103" s="4">
        <v>57</v>
      </c>
      <c r="I103" s="4">
        <v>52</v>
      </c>
      <c r="J103" s="4">
        <v>14</v>
      </c>
      <c r="K103" s="59"/>
      <c r="L103" s="59"/>
    </row>
    <row r="104" spans="3:12" x14ac:dyDescent="0.3">
      <c r="C104" s="59"/>
      <c r="D104" s="60"/>
      <c r="E104" s="59"/>
      <c r="F104" s="59"/>
      <c r="G104" s="59"/>
      <c r="H104" s="59"/>
      <c r="I104" s="59"/>
      <c r="J104" s="59"/>
      <c r="K104" s="59"/>
      <c r="L104" s="59"/>
    </row>
    <row r="105" spans="3:12" ht="14.4" customHeight="1" x14ac:dyDescent="0.3">
      <c r="C105" s="59"/>
      <c r="D105" s="60"/>
      <c r="E105" s="117" t="s">
        <v>14</v>
      </c>
      <c r="F105" s="118"/>
      <c r="G105" s="117" t="s">
        <v>15</v>
      </c>
      <c r="H105" s="118"/>
      <c r="I105" s="117" t="s">
        <v>16</v>
      </c>
      <c r="J105" s="118"/>
      <c r="K105" s="59"/>
      <c r="L105" s="59"/>
    </row>
    <row r="106" spans="3:12" x14ac:dyDescent="0.3">
      <c r="C106" s="59"/>
      <c r="D106" s="59"/>
      <c r="E106" s="2" t="s">
        <v>48</v>
      </c>
      <c r="F106" s="2" t="s">
        <v>49</v>
      </c>
      <c r="G106" s="2" t="s">
        <v>48</v>
      </c>
      <c r="H106" s="2" t="s">
        <v>49</v>
      </c>
      <c r="I106" s="2" t="s">
        <v>48</v>
      </c>
      <c r="J106" s="2" t="s">
        <v>49</v>
      </c>
      <c r="K106" s="59"/>
      <c r="L106" s="59"/>
    </row>
    <row r="107" spans="3:12" x14ac:dyDescent="0.3">
      <c r="C107" s="122" t="s">
        <v>114</v>
      </c>
      <c r="D107" s="46" t="s">
        <v>23</v>
      </c>
      <c r="E107" s="48">
        <v>70</v>
      </c>
      <c r="F107" s="48">
        <v>74</v>
      </c>
      <c r="G107" s="48">
        <v>68</v>
      </c>
      <c r="H107" s="48">
        <v>72</v>
      </c>
      <c r="I107" s="48">
        <v>71.699999999999932</v>
      </c>
      <c r="J107" s="48">
        <v>78</v>
      </c>
      <c r="K107" s="59"/>
      <c r="L107" s="59"/>
    </row>
    <row r="108" spans="3:12" x14ac:dyDescent="0.3">
      <c r="C108" s="122"/>
      <c r="D108" s="47" t="s">
        <v>24</v>
      </c>
      <c r="E108" s="49">
        <v>62.75</v>
      </c>
      <c r="F108" s="49">
        <v>68</v>
      </c>
      <c r="G108" s="49">
        <v>61</v>
      </c>
      <c r="H108" s="49">
        <v>66.5</v>
      </c>
      <c r="I108" s="49">
        <v>61.75</v>
      </c>
      <c r="J108" s="49">
        <v>67</v>
      </c>
      <c r="K108" s="59"/>
      <c r="L108" s="59"/>
    </row>
    <row r="109" spans="3:12" x14ac:dyDescent="0.3">
      <c r="C109" s="122"/>
      <c r="D109" s="46" t="s">
        <v>26</v>
      </c>
      <c r="E109" s="50">
        <v>55</v>
      </c>
      <c r="F109" s="50">
        <v>62</v>
      </c>
      <c r="G109" s="50">
        <v>53</v>
      </c>
      <c r="H109" s="50">
        <v>60</v>
      </c>
      <c r="I109" s="50">
        <v>53</v>
      </c>
      <c r="J109" s="50">
        <v>63</v>
      </c>
      <c r="K109" s="59"/>
      <c r="L109" s="59"/>
    </row>
    <row r="110" spans="3:12" x14ac:dyDescent="0.3">
      <c r="C110" s="122"/>
      <c r="D110" s="47" t="s">
        <v>27</v>
      </c>
      <c r="E110" s="51">
        <v>45</v>
      </c>
      <c r="F110" s="51">
        <v>54</v>
      </c>
      <c r="G110" s="51">
        <v>43</v>
      </c>
      <c r="H110" s="51">
        <v>53.5</v>
      </c>
      <c r="I110" s="51">
        <v>45.5</v>
      </c>
      <c r="J110" s="51">
        <v>51.75</v>
      </c>
      <c r="K110" s="59"/>
      <c r="L110" s="59"/>
    </row>
    <row r="111" spans="3:12" x14ac:dyDescent="0.3">
      <c r="C111" s="122"/>
      <c r="D111" s="46" t="s">
        <v>28</v>
      </c>
      <c r="E111" s="50">
        <v>36</v>
      </c>
      <c r="F111" s="50">
        <v>48.900000000000048</v>
      </c>
      <c r="G111" s="50">
        <v>35.599999999999973</v>
      </c>
      <c r="H111" s="50">
        <v>48.599999999999952</v>
      </c>
      <c r="I111" s="50">
        <v>34.299999999999969</v>
      </c>
      <c r="J111" s="50">
        <v>45</v>
      </c>
      <c r="K111" s="59"/>
      <c r="L111" s="59"/>
    </row>
    <row r="112" spans="3:12" x14ac:dyDescent="0.3">
      <c r="C112" s="59"/>
      <c r="D112" s="60"/>
      <c r="E112" s="59"/>
      <c r="F112" s="59"/>
      <c r="G112" s="59"/>
      <c r="H112" s="59"/>
      <c r="I112" s="59"/>
      <c r="J112" s="59"/>
      <c r="K112" s="59"/>
      <c r="L112" s="59"/>
    </row>
    <row r="113" spans="3:12" x14ac:dyDescent="0.3">
      <c r="C113" s="59"/>
      <c r="D113" s="60"/>
      <c r="E113" s="59"/>
      <c r="F113" s="59"/>
      <c r="G113" s="59"/>
      <c r="H113" s="59"/>
      <c r="I113" s="59"/>
      <c r="J113" s="59"/>
      <c r="K113" s="59"/>
      <c r="L113" s="59"/>
    </row>
    <row r="114" spans="3:12" ht="18" x14ac:dyDescent="0.35">
      <c r="C114" s="81" t="str">
        <f>D11</f>
        <v>Tarification incitative - Dispersion des quantités de déchets en déchèterie collectées par typologie d'habitat avec ou sans TI</v>
      </c>
      <c r="D114" s="81"/>
      <c r="E114" s="81"/>
      <c r="F114" s="81"/>
      <c r="G114" s="81"/>
      <c r="H114" s="81"/>
      <c r="I114" s="81"/>
      <c r="J114" s="81"/>
      <c r="K114" s="81"/>
      <c r="L114" s="81"/>
    </row>
    <row r="115" spans="3:12" x14ac:dyDescent="0.3">
      <c r="C115" s="106" t="s">
        <v>35</v>
      </c>
      <c r="D115" s="106"/>
      <c r="E115" s="59"/>
      <c r="F115" s="59"/>
      <c r="G115" s="59"/>
      <c r="H115" s="59"/>
      <c r="I115" s="59"/>
      <c r="J115" s="59"/>
      <c r="K115" s="59"/>
      <c r="L115" s="59"/>
    </row>
    <row r="116" spans="3:12" x14ac:dyDescent="0.3">
      <c r="C116" s="66"/>
      <c r="E116" s="117" t="s">
        <v>14</v>
      </c>
      <c r="F116" s="118"/>
      <c r="G116" s="117" t="s">
        <v>15</v>
      </c>
      <c r="H116" s="118"/>
      <c r="I116" s="117" t="s">
        <v>16</v>
      </c>
      <c r="J116" s="118"/>
      <c r="K116" s="59"/>
      <c r="L116" s="59"/>
    </row>
    <row r="117" spans="3:12" x14ac:dyDescent="0.3">
      <c r="C117" s="59"/>
      <c r="D117"/>
      <c r="E117" s="2" t="s">
        <v>48</v>
      </c>
      <c r="F117" s="2" t="s">
        <v>49</v>
      </c>
      <c r="G117" s="2" t="s">
        <v>48</v>
      </c>
      <c r="H117" s="2" t="s">
        <v>49</v>
      </c>
      <c r="I117" s="2" t="s">
        <v>48</v>
      </c>
      <c r="J117" s="2" t="s">
        <v>49</v>
      </c>
      <c r="K117" s="59"/>
      <c r="L117" s="59"/>
    </row>
    <row r="118" spans="3:12" x14ac:dyDescent="0.3">
      <c r="C118" s="59"/>
      <c r="D118" s="3" t="s">
        <v>36</v>
      </c>
      <c r="E118" s="4">
        <v>152</v>
      </c>
      <c r="F118" s="4">
        <v>58</v>
      </c>
      <c r="G118" s="4">
        <v>125</v>
      </c>
      <c r="H118" s="4">
        <v>57</v>
      </c>
      <c r="I118" s="4">
        <v>52</v>
      </c>
      <c r="J118" s="4">
        <v>14</v>
      </c>
      <c r="K118" s="59"/>
      <c r="L118" s="59"/>
    </row>
    <row r="119" spans="3:12" x14ac:dyDescent="0.3">
      <c r="C119" s="59"/>
      <c r="D119" s="60"/>
      <c r="E119" s="59"/>
      <c r="F119" s="59"/>
      <c r="G119" s="59"/>
      <c r="H119" s="59"/>
      <c r="I119" s="59"/>
      <c r="J119" s="59"/>
      <c r="K119" s="59"/>
      <c r="L119" s="59"/>
    </row>
    <row r="120" spans="3:12" ht="14.4" customHeight="1" x14ac:dyDescent="0.3">
      <c r="C120" s="59"/>
      <c r="D120" s="60"/>
      <c r="E120" s="117" t="s">
        <v>14</v>
      </c>
      <c r="F120" s="118"/>
      <c r="G120" s="117" t="s">
        <v>15</v>
      </c>
      <c r="H120" s="118"/>
      <c r="I120" s="117" t="s">
        <v>16</v>
      </c>
      <c r="J120" s="118"/>
      <c r="K120" s="59"/>
      <c r="L120" s="59"/>
    </row>
    <row r="121" spans="3:12" x14ac:dyDescent="0.3">
      <c r="C121" s="59"/>
      <c r="D121" s="59"/>
      <c r="E121" s="2" t="s">
        <v>48</v>
      </c>
      <c r="F121" s="2" t="s">
        <v>49</v>
      </c>
      <c r="G121" s="2" t="s">
        <v>48</v>
      </c>
      <c r="H121" s="2" t="s">
        <v>49</v>
      </c>
      <c r="I121" s="2" t="s">
        <v>48</v>
      </c>
      <c r="J121" s="2" t="s">
        <v>49</v>
      </c>
      <c r="K121" s="59"/>
      <c r="L121" s="59"/>
    </row>
    <row r="122" spans="3:12" x14ac:dyDescent="0.3">
      <c r="C122" s="122" t="s">
        <v>114</v>
      </c>
      <c r="D122" s="46" t="s">
        <v>23</v>
      </c>
      <c r="E122" s="48">
        <v>322.90000000000089</v>
      </c>
      <c r="F122" s="48">
        <v>290.89999999999981</v>
      </c>
      <c r="G122" s="48">
        <v>313.80000000000007</v>
      </c>
      <c r="H122" s="48">
        <v>305.60000000000014</v>
      </c>
      <c r="I122" s="48">
        <v>319.70000000000033</v>
      </c>
      <c r="J122" s="48">
        <v>391.5</v>
      </c>
      <c r="K122" s="59"/>
      <c r="L122" s="59"/>
    </row>
    <row r="123" spans="3:12" x14ac:dyDescent="0.3">
      <c r="C123" s="122"/>
      <c r="D123" s="47" t="s">
        <v>24</v>
      </c>
      <c r="E123" s="49">
        <v>284.5</v>
      </c>
      <c r="F123" s="49">
        <v>257</v>
      </c>
      <c r="G123" s="49">
        <v>276</v>
      </c>
      <c r="H123" s="49">
        <v>252</v>
      </c>
      <c r="I123" s="49">
        <v>235.5</v>
      </c>
      <c r="J123" s="49">
        <v>266</v>
      </c>
      <c r="K123" s="59"/>
      <c r="L123" s="59"/>
    </row>
    <row r="124" spans="3:12" x14ac:dyDescent="0.3">
      <c r="C124" s="122"/>
      <c r="D124" s="46" t="s">
        <v>26</v>
      </c>
      <c r="E124" s="50">
        <v>235.5</v>
      </c>
      <c r="F124" s="50">
        <v>232</v>
      </c>
      <c r="G124" s="50">
        <v>225</v>
      </c>
      <c r="H124" s="50">
        <v>220</v>
      </c>
      <c r="I124" s="50">
        <v>196</v>
      </c>
      <c r="J124" s="50">
        <v>175.5</v>
      </c>
      <c r="K124" s="59"/>
      <c r="L124" s="59"/>
    </row>
    <row r="125" spans="3:12" x14ac:dyDescent="0.3">
      <c r="C125" s="122"/>
      <c r="D125" s="47" t="s">
        <v>27</v>
      </c>
      <c r="E125" s="51">
        <v>200.5</v>
      </c>
      <c r="F125" s="51">
        <v>199.75</v>
      </c>
      <c r="G125" s="51">
        <v>176</v>
      </c>
      <c r="H125" s="51">
        <v>185.5</v>
      </c>
      <c r="I125" s="51">
        <v>170.75</v>
      </c>
      <c r="J125" s="51">
        <v>152.75</v>
      </c>
      <c r="K125" s="59"/>
      <c r="L125" s="59"/>
    </row>
    <row r="126" spans="3:12" x14ac:dyDescent="0.3">
      <c r="C126" s="122"/>
      <c r="D126" s="46" t="s">
        <v>28</v>
      </c>
      <c r="E126" s="50">
        <v>169.29999999999956</v>
      </c>
      <c r="F126" s="50">
        <v>186.7000000000001</v>
      </c>
      <c r="G126" s="50">
        <v>153.20000000000036</v>
      </c>
      <c r="H126" s="50">
        <v>150.8000000000001</v>
      </c>
      <c r="I126" s="50">
        <v>146</v>
      </c>
      <c r="J126" s="50">
        <v>120</v>
      </c>
      <c r="K126" s="59"/>
      <c r="L126" s="59"/>
    </row>
    <row r="127" spans="3:12" x14ac:dyDescent="0.3">
      <c r="C127" s="59"/>
      <c r="D127" s="60"/>
      <c r="E127" s="59"/>
      <c r="F127" s="59"/>
      <c r="G127" s="59"/>
      <c r="H127" s="59"/>
      <c r="I127" s="59"/>
      <c r="J127" s="59"/>
      <c r="K127" s="59"/>
      <c r="L127" s="59"/>
    </row>
    <row r="128" spans="3:12" x14ac:dyDescent="0.3">
      <c r="C128" s="59"/>
      <c r="D128" s="60"/>
      <c r="E128" s="59"/>
      <c r="F128" s="59"/>
      <c r="G128" s="59"/>
      <c r="H128" s="59"/>
      <c r="I128" s="59"/>
      <c r="J128" s="59"/>
      <c r="K128" s="59"/>
      <c r="L128" s="59"/>
    </row>
    <row r="129" spans="3:12" ht="18" x14ac:dyDescent="0.35">
      <c r="C129" s="81" t="str">
        <f>D12</f>
        <v>Tarification incitative - Dispersion des quantités d'OMR collectées par fréquence de collecte avec ou sans TI</v>
      </c>
      <c r="D129" s="81"/>
      <c r="E129" s="81"/>
      <c r="F129" s="81"/>
      <c r="G129" s="81"/>
      <c r="H129" s="81"/>
      <c r="I129" s="81"/>
      <c r="J129" s="81"/>
      <c r="K129" s="81"/>
      <c r="L129" s="81"/>
    </row>
    <row r="130" spans="3:12" x14ac:dyDescent="0.3">
      <c r="C130" s="106" t="s">
        <v>35</v>
      </c>
      <c r="D130" s="106"/>
      <c r="E130" s="59"/>
      <c r="F130" s="59"/>
      <c r="G130" s="59"/>
      <c r="H130" s="59"/>
      <c r="I130" s="59"/>
      <c r="J130" s="59"/>
      <c r="K130" s="59"/>
      <c r="L130" s="59"/>
    </row>
    <row r="131" spans="3:12" x14ac:dyDescent="0.3">
      <c r="C131" s="66"/>
      <c r="E131" s="117" t="s">
        <v>151</v>
      </c>
      <c r="F131" s="118"/>
      <c r="G131" s="117" t="s">
        <v>152</v>
      </c>
      <c r="H131" s="118"/>
      <c r="I131" s="59"/>
      <c r="J131" s="59"/>
      <c r="K131" s="59"/>
      <c r="L131" s="59"/>
    </row>
    <row r="132" spans="3:12" x14ac:dyDescent="0.3">
      <c r="C132" s="59"/>
      <c r="D132"/>
      <c r="E132" s="2" t="s">
        <v>48</v>
      </c>
      <c r="F132" s="2" t="s">
        <v>49</v>
      </c>
      <c r="G132" s="2" t="s">
        <v>48</v>
      </c>
      <c r="H132" s="2" t="s">
        <v>49</v>
      </c>
      <c r="I132" s="59"/>
      <c r="J132" s="59"/>
      <c r="K132" s="59"/>
      <c r="L132" s="59"/>
    </row>
    <row r="133" spans="3:12" x14ac:dyDescent="0.3">
      <c r="C133" s="59"/>
      <c r="D133" s="3" t="s">
        <v>36</v>
      </c>
      <c r="E133" s="4">
        <v>48</v>
      </c>
      <c r="F133" s="4">
        <v>71</v>
      </c>
      <c r="G133" s="4">
        <v>168</v>
      </c>
      <c r="H133" s="4">
        <v>41</v>
      </c>
      <c r="I133" s="59"/>
      <c r="J133" s="59"/>
      <c r="K133" s="59"/>
      <c r="L133" s="59"/>
    </row>
    <row r="134" spans="3:12" x14ac:dyDescent="0.3">
      <c r="C134" s="59"/>
      <c r="D134" s="60"/>
      <c r="E134" s="59"/>
      <c r="F134" s="59"/>
      <c r="G134" s="59"/>
      <c r="H134" s="59"/>
      <c r="I134" s="59"/>
      <c r="J134" s="59"/>
      <c r="K134" s="59"/>
      <c r="L134" s="59"/>
    </row>
    <row r="135" spans="3:12" ht="14.4" customHeight="1" x14ac:dyDescent="0.3">
      <c r="C135" s="59"/>
      <c r="D135" s="60"/>
      <c r="E135" s="117" t="s">
        <v>151</v>
      </c>
      <c r="F135" s="118"/>
      <c r="G135" s="117" t="s">
        <v>152</v>
      </c>
      <c r="H135" s="118"/>
      <c r="I135" s="59"/>
      <c r="J135" s="59"/>
      <c r="K135" s="59"/>
      <c r="L135" s="59"/>
    </row>
    <row r="136" spans="3:12" x14ac:dyDescent="0.3">
      <c r="C136" s="59"/>
      <c r="D136" s="59"/>
      <c r="E136" s="2" t="s">
        <v>48</v>
      </c>
      <c r="F136" s="2" t="s">
        <v>49</v>
      </c>
      <c r="G136" s="2" t="s">
        <v>48</v>
      </c>
      <c r="H136" s="2" t="s">
        <v>49</v>
      </c>
      <c r="I136" s="59"/>
      <c r="J136" s="59"/>
      <c r="K136" s="59"/>
      <c r="L136" s="59"/>
    </row>
    <row r="137" spans="3:12" x14ac:dyDescent="0.3">
      <c r="C137" s="122" t="s">
        <v>114</v>
      </c>
      <c r="D137" s="46" t="s">
        <v>23</v>
      </c>
      <c r="E137" s="48">
        <v>192.30000000000004</v>
      </c>
      <c r="F137" s="48">
        <v>142.60000000000019</v>
      </c>
      <c r="G137" s="48">
        <v>233.30000000000004</v>
      </c>
      <c r="H137" s="48">
        <v>178.39999999999989</v>
      </c>
      <c r="I137" s="59"/>
      <c r="J137" s="59"/>
      <c r="K137" s="59"/>
      <c r="L137" s="59"/>
    </row>
    <row r="138" spans="3:12" x14ac:dyDescent="0.3">
      <c r="C138" s="122"/>
      <c r="D138" s="47" t="s">
        <v>24</v>
      </c>
      <c r="E138" s="49">
        <v>177</v>
      </c>
      <c r="F138" s="49">
        <v>125</v>
      </c>
      <c r="G138" s="49">
        <v>219.75</v>
      </c>
      <c r="H138" s="49">
        <v>156</v>
      </c>
      <c r="I138" s="59"/>
      <c r="J138" s="59"/>
      <c r="K138" s="59"/>
      <c r="L138" s="59"/>
    </row>
    <row r="139" spans="3:12" x14ac:dyDescent="0.3">
      <c r="C139" s="122"/>
      <c r="D139" s="46" t="s">
        <v>26</v>
      </c>
      <c r="E139" s="50">
        <v>152.5</v>
      </c>
      <c r="F139" s="50">
        <v>106</v>
      </c>
      <c r="G139" s="50">
        <v>200</v>
      </c>
      <c r="H139" s="50">
        <v>129</v>
      </c>
      <c r="I139" s="59"/>
      <c r="J139" s="59"/>
      <c r="K139" s="59"/>
      <c r="L139" s="59"/>
    </row>
    <row r="140" spans="3:12" x14ac:dyDescent="0.3">
      <c r="C140" s="122"/>
      <c r="D140" s="47" t="s">
        <v>27</v>
      </c>
      <c r="E140" s="51">
        <v>132.25</v>
      </c>
      <c r="F140" s="51">
        <v>95</v>
      </c>
      <c r="G140" s="51">
        <v>179.25</v>
      </c>
      <c r="H140" s="51">
        <v>112</v>
      </c>
      <c r="I140" s="59"/>
      <c r="J140" s="59"/>
      <c r="K140" s="59"/>
      <c r="L140" s="59"/>
    </row>
    <row r="141" spans="3:12" x14ac:dyDescent="0.3">
      <c r="C141" s="122"/>
      <c r="D141" s="46" t="s">
        <v>28</v>
      </c>
      <c r="E141" s="50">
        <v>106</v>
      </c>
      <c r="F141" s="50">
        <v>83.399999999999935</v>
      </c>
      <c r="G141" s="50">
        <v>158.79999999999953</v>
      </c>
      <c r="H141" s="50">
        <v>102</v>
      </c>
      <c r="I141" s="59"/>
      <c r="J141" s="59"/>
      <c r="K141" s="59"/>
      <c r="L141" s="59"/>
    </row>
    <row r="142" spans="3:12" x14ac:dyDescent="0.3">
      <c r="C142" s="59"/>
      <c r="D142" s="60"/>
      <c r="E142" s="59"/>
      <c r="F142" s="59"/>
      <c r="G142" s="59"/>
      <c r="H142" s="59"/>
      <c r="I142" s="59"/>
      <c r="J142" s="59"/>
      <c r="K142" s="59"/>
      <c r="L142" s="59"/>
    </row>
    <row r="143" spans="3:12" x14ac:dyDescent="0.3">
      <c r="C143" s="59"/>
      <c r="D143" s="60"/>
      <c r="E143" s="59"/>
      <c r="F143" s="59"/>
      <c r="G143" s="59"/>
      <c r="H143" s="59"/>
      <c r="I143" s="59"/>
      <c r="J143" s="59"/>
      <c r="K143" s="59"/>
      <c r="L143" s="59"/>
    </row>
    <row r="144" spans="3:12" ht="18" x14ac:dyDescent="0.35">
      <c r="C144" s="81" t="str">
        <f>D13</f>
        <v>Tarification incitative - Dispersion des quantités d'OMR collectées par typologie d'habitat selon le type de facturation</v>
      </c>
      <c r="D144" s="81"/>
      <c r="E144" s="81"/>
      <c r="F144" s="81"/>
      <c r="G144" s="81"/>
      <c r="H144" s="81"/>
      <c r="I144" s="81"/>
      <c r="J144" s="81"/>
      <c r="K144" s="81"/>
      <c r="L144" s="81"/>
    </row>
    <row r="145" spans="1:12" x14ac:dyDescent="0.3">
      <c r="C145" s="106" t="s">
        <v>35</v>
      </c>
      <c r="D145" s="106"/>
      <c r="E145" s="59"/>
      <c r="F145" s="59"/>
      <c r="G145" s="59"/>
      <c r="H145" s="59"/>
      <c r="I145" s="59"/>
      <c r="J145" s="59"/>
      <c r="K145" s="59"/>
      <c r="L145" s="59"/>
    </row>
    <row r="146" spans="1:12" x14ac:dyDescent="0.3">
      <c r="C146" s="66"/>
      <c r="E146" s="117" t="s">
        <v>14</v>
      </c>
      <c r="F146" s="118"/>
      <c r="G146" s="117" t="s">
        <v>15</v>
      </c>
      <c r="H146" s="118"/>
      <c r="I146" s="117" t="s">
        <v>16</v>
      </c>
      <c r="J146" s="118"/>
      <c r="K146" s="59"/>
      <c r="L146" s="59"/>
    </row>
    <row r="147" spans="1:12" x14ac:dyDescent="0.3">
      <c r="C147" s="59"/>
      <c r="D147"/>
      <c r="E147" s="2" t="s">
        <v>149</v>
      </c>
      <c r="F147" s="2" t="s">
        <v>150</v>
      </c>
      <c r="G147" s="2" t="s">
        <v>149</v>
      </c>
      <c r="H147" s="2" t="s">
        <v>150</v>
      </c>
      <c r="I147" s="2" t="s">
        <v>149</v>
      </c>
      <c r="J147" s="2" t="s">
        <v>150</v>
      </c>
      <c r="K147" s="59"/>
      <c r="L147" s="59"/>
    </row>
    <row r="148" spans="1:12" x14ac:dyDescent="0.3">
      <c r="C148" s="59"/>
      <c r="D148" s="3" t="s">
        <v>36</v>
      </c>
      <c r="E148" s="4">
        <v>47</v>
      </c>
      <c r="F148" s="4">
        <v>11</v>
      </c>
      <c r="G148" s="4">
        <v>50</v>
      </c>
      <c r="H148" s="4">
        <v>7</v>
      </c>
      <c r="I148" s="4">
        <v>9</v>
      </c>
      <c r="J148" s="4">
        <v>5</v>
      </c>
      <c r="K148" s="59"/>
      <c r="L148" s="59"/>
    </row>
    <row r="149" spans="1:12" x14ac:dyDescent="0.3">
      <c r="C149" s="59"/>
      <c r="D149" s="60"/>
      <c r="E149" s="59"/>
      <c r="F149" s="59"/>
      <c r="G149" s="59"/>
      <c r="H149" s="59"/>
      <c r="I149" s="59"/>
      <c r="J149" s="59"/>
      <c r="K149" s="59"/>
      <c r="L149" s="59"/>
    </row>
    <row r="150" spans="1:12" ht="14.4" customHeight="1" x14ac:dyDescent="0.3">
      <c r="C150" s="59"/>
      <c r="D150" s="60"/>
      <c r="E150" s="117" t="s">
        <v>14</v>
      </c>
      <c r="F150" s="118"/>
      <c r="G150" s="117" t="s">
        <v>15</v>
      </c>
      <c r="H150" s="118"/>
      <c r="I150" s="117" t="s">
        <v>16</v>
      </c>
      <c r="J150" s="118"/>
      <c r="K150" s="59"/>
      <c r="L150" s="59"/>
    </row>
    <row r="151" spans="1:12" x14ac:dyDescent="0.3">
      <c r="C151" s="59"/>
      <c r="D151" s="59"/>
      <c r="E151" s="2" t="s">
        <v>48</v>
      </c>
      <c r="F151" s="2" t="s">
        <v>49</v>
      </c>
      <c r="G151" s="2" t="s">
        <v>48</v>
      </c>
      <c r="H151" s="2" t="s">
        <v>49</v>
      </c>
      <c r="I151" s="2" t="s">
        <v>48</v>
      </c>
      <c r="J151" s="2" t="s">
        <v>49</v>
      </c>
      <c r="K151" s="59"/>
      <c r="L151" s="59"/>
    </row>
    <row r="152" spans="1:12" x14ac:dyDescent="0.3">
      <c r="C152" s="122" t="s">
        <v>114</v>
      </c>
      <c r="D152" s="46" t="s">
        <v>23</v>
      </c>
      <c r="E152" s="48">
        <v>143</v>
      </c>
      <c r="F152" s="48">
        <v>179.20000000000002</v>
      </c>
      <c r="G152" s="48">
        <v>150.60000000000014</v>
      </c>
      <c r="H152" s="48"/>
      <c r="I152" s="48">
        <v>200</v>
      </c>
      <c r="J152" s="48"/>
      <c r="K152" s="59"/>
      <c r="L152" s="59"/>
    </row>
    <row r="153" spans="1:12" x14ac:dyDescent="0.3">
      <c r="C153" s="122"/>
      <c r="D153" s="47" t="s">
        <v>24</v>
      </c>
      <c r="E153" s="49">
        <v>129</v>
      </c>
      <c r="F153" s="49">
        <v>164</v>
      </c>
      <c r="G153" s="49">
        <v>122.75</v>
      </c>
      <c r="H153" s="49">
        <v>181</v>
      </c>
      <c r="I153" s="49">
        <v>147</v>
      </c>
      <c r="J153" s="49">
        <v>222</v>
      </c>
      <c r="K153" s="59"/>
      <c r="L153" s="59"/>
    </row>
    <row r="154" spans="1:12" x14ac:dyDescent="0.3">
      <c r="C154" s="122"/>
      <c r="D154" s="46" t="s">
        <v>26</v>
      </c>
      <c r="E154" s="50">
        <v>111</v>
      </c>
      <c r="F154" s="50">
        <v>146</v>
      </c>
      <c r="G154" s="50">
        <v>104.5</v>
      </c>
      <c r="H154" s="50">
        <v>166</v>
      </c>
      <c r="I154" s="50">
        <v>132</v>
      </c>
      <c r="J154" s="50">
        <v>175</v>
      </c>
      <c r="K154" s="59"/>
      <c r="L154" s="59"/>
    </row>
    <row r="155" spans="1:12" x14ac:dyDescent="0.3">
      <c r="C155" s="122"/>
      <c r="D155" s="47" t="s">
        <v>27</v>
      </c>
      <c r="E155" s="51">
        <v>98</v>
      </c>
      <c r="F155" s="51">
        <v>124</v>
      </c>
      <c r="G155" s="51">
        <v>93.75</v>
      </c>
      <c r="H155" s="51">
        <v>126</v>
      </c>
      <c r="I155" s="51">
        <v>97.5</v>
      </c>
      <c r="J155" s="51">
        <v>125.5</v>
      </c>
      <c r="K155" s="59"/>
      <c r="L155" s="59"/>
    </row>
    <row r="156" spans="1:12" x14ac:dyDescent="0.3">
      <c r="C156" s="122"/>
      <c r="D156" s="46" t="s">
        <v>28</v>
      </c>
      <c r="E156" s="50">
        <v>83.800000000000082</v>
      </c>
      <c r="F156" s="50">
        <v>96.600000000000009</v>
      </c>
      <c r="G156" s="50">
        <v>77.599999999999937</v>
      </c>
      <c r="H156" s="50"/>
      <c r="I156" s="50">
        <v>91</v>
      </c>
      <c r="J156" s="50"/>
      <c r="K156" s="59"/>
      <c r="L156" s="59"/>
    </row>
    <row r="157" spans="1:12" x14ac:dyDescent="0.3">
      <c r="C157" s="59"/>
      <c r="D157" s="60"/>
      <c r="E157" s="59"/>
      <c r="F157" s="59"/>
      <c r="G157" s="59"/>
      <c r="H157" s="59"/>
      <c r="I157" s="59"/>
      <c r="J157" s="59"/>
      <c r="K157" s="59"/>
      <c r="L157" s="59"/>
    </row>
    <row r="158" spans="1:12" x14ac:dyDescent="0.3">
      <c r="C158" s="59"/>
      <c r="D158" s="60"/>
      <c r="E158" s="59"/>
      <c r="F158" s="59"/>
      <c r="G158" s="59"/>
      <c r="H158" s="59"/>
      <c r="I158" s="59"/>
      <c r="J158" s="59"/>
      <c r="K158" s="59"/>
      <c r="L158" s="59"/>
    </row>
    <row r="159" spans="1:12" ht="18" x14ac:dyDescent="0.35">
      <c r="A159" s="104"/>
      <c r="C159" s="81" t="str">
        <f>D14</f>
        <v>Tarification incitative - Coûts complets et aidés tous flux avec ou sans TI (en euros par habitant)</v>
      </c>
      <c r="D159" s="81"/>
      <c r="E159" s="81"/>
      <c r="F159" s="81"/>
      <c r="G159" s="81"/>
      <c r="H159" s="81"/>
      <c r="I159" s="81"/>
      <c r="J159" s="81"/>
      <c r="K159" s="81"/>
      <c r="L159" s="81"/>
    </row>
    <row r="160" spans="1:12" x14ac:dyDescent="0.3">
      <c r="A160" s="104"/>
      <c r="C160" s="106" t="s">
        <v>35</v>
      </c>
      <c r="D160" s="106"/>
      <c r="E160" s="59"/>
      <c r="F160" s="59"/>
      <c r="G160" s="59"/>
      <c r="H160" s="59"/>
      <c r="I160" s="59"/>
      <c r="J160" s="59"/>
      <c r="K160" s="59"/>
      <c r="L160" s="59"/>
    </row>
    <row r="161" spans="1:17" x14ac:dyDescent="0.3">
      <c r="A161" s="104"/>
      <c r="C161" s="59"/>
      <c r="D161" s="59"/>
      <c r="E161" s="117" t="s">
        <v>115</v>
      </c>
      <c r="F161" s="118"/>
      <c r="G161" s="117" t="s">
        <v>116</v>
      </c>
      <c r="H161" s="118"/>
      <c r="I161" s="59"/>
      <c r="J161" s="59"/>
      <c r="K161" s="59"/>
      <c r="L161" s="59"/>
    </row>
    <row r="162" spans="1:17" x14ac:dyDescent="0.3">
      <c r="A162" s="104"/>
      <c r="C162" s="59"/>
      <c r="D162" s="59"/>
      <c r="E162" s="2" t="s">
        <v>48</v>
      </c>
      <c r="F162" s="2" t="s">
        <v>49</v>
      </c>
      <c r="G162" s="2" t="s">
        <v>48</v>
      </c>
      <c r="H162" s="2" t="s">
        <v>49</v>
      </c>
      <c r="I162" s="59"/>
      <c r="J162" s="59"/>
      <c r="K162" s="59"/>
      <c r="L162" s="59"/>
    </row>
    <row r="163" spans="1:17" x14ac:dyDescent="0.3">
      <c r="A163" s="104"/>
      <c r="D163" s="3" t="s">
        <v>36</v>
      </c>
      <c r="E163" s="4">
        <v>248</v>
      </c>
      <c r="F163" s="4">
        <v>98</v>
      </c>
      <c r="G163" s="4">
        <v>329</v>
      </c>
      <c r="H163" s="4">
        <v>129</v>
      </c>
      <c r="I163" s="59"/>
      <c r="J163" s="59"/>
      <c r="K163" s="59"/>
      <c r="L163" s="59"/>
    </row>
    <row r="164" spans="1:17" x14ac:dyDescent="0.3">
      <c r="A164" s="104"/>
      <c r="C164" s="59"/>
      <c r="D164" s="60"/>
      <c r="E164" s="59"/>
      <c r="F164" s="59"/>
      <c r="G164" s="59"/>
      <c r="H164" s="59"/>
      <c r="I164" s="59"/>
      <c r="J164" s="59"/>
      <c r="K164" s="59"/>
      <c r="L164" s="59"/>
    </row>
    <row r="165" spans="1:17" ht="14.4" customHeight="1" x14ac:dyDescent="0.3">
      <c r="A165" s="104"/>
      <c r="C165" s="59"/>
      <c r="D165" s="59"/>
      <c r="E165" s="117" t="s">
        <v>115</v>
      </c>
      <c r="F165" s="118"/>
      <c r="G165" s="117" t="s">
        <v>116</v>
      </c>
      <c r="H165" s="118"/>
      <c r="I165" s="59"/>
      <c r="J165" s="59"/>
      <c r="K165" s="59"/>
      <c r="L165" s="59"/>
    </row>
    <row r="166" spans="1:17" x14ac:dyDescent="0.3">
      <c r="A166" s="104"/>
      <c r="C166" s="59"/>
      <c r="D166" s="59"/>
      <c r="E166" s="2" t="s">
        <v>48</v>
      </c>
      <c r="F166" s="2" t="s">
        <v>49</v>
      </c>
      <c r="G166" s="2" t="s">
        <v>48</v>
      </c>
      <c r="H166" s="2" t="s">
        <v>49</v>
      </c>
      <c r="I166" s="59"/>
      <c r="J166" s="59"/>
      <c r="K166" s="59"/>
      <c r="L166" s="59"/>
    </row>
    <row r="167" spans="1:17" x14ac:dyDescent="0.3">
      <c r="A167" s="104"/>
      <c r="C167" s="107" t="s">
        <v>39</v>
      </c>
      <c r="D167" s="16" t="s">
        <v>23</v>
      </c>
      <c r="E167" s="28">
        <v>191.62048704533174</v>
      </c>
      <c r="F167" s="28">
        <v>156.84029026631325</v>
      </c>
      <c r="G167" s="28">
        <v>168.05700000000056</v>
      </c>
      <c r="H167" s="28">
        <v>122.80199999999978</v>
      </c>
      <c r="I167" s="59"/>
      <c r="J167" s="59"/>
      <c r="K167" s="59"/>
      <c r="L167" s="59"/>
    </row>
    <row r="168" spans="1:17" x14ac:dyDescent="0.3">
      <c r="A168" s="104"/>
      <c r="C168" s="107"/>
      <c r="D168" s="17" t="s">
        <v>24</v>
      </c>
      <c r="E168" s="33">
        <v>166.11938119007846</v>
      </c>
      <c r="F168" s="33">
        <v>141.2199999999998</v>
      </c>
      <c r="G168" s="33">
        <v>140.00650000000067</v>
      </c>
      <c r="H168" s="33">
        <v>110.20499999999994</v>
      </c>
      <c r="I168" s="59"/>
      <c r="J168" s="59"/>
      <c r="K168" s="59"/>
      <c r="L168" s="59"/>
    </row>
    <row r="169" spans="1:17" s="25" customFormat="1" ht="19.2" customHeight="1" x14ac:dyDescent="0.3">
      <c r="A169" s="104"/>
      <c r="C169" s="107"/>
      <c r="D169" s="31" t="s">
        <v>26</v>
      </c>
      <c r="E169" s="34">
        <v>147.8573733454171</v>
      </c>
      <c r="F169" s="34">
        <v>125.54125493438598</v>
      </c>
      <c r="G169" s="34">
        <v>119.13799999999958</v>
      </c>
      <c r="H169" s="34">
        <v>98.432000000000144</v>
      </c>
      <c r="I169" s="64"/>
      <c r="J169" s="59"/>
      <c r="K169" s="59"/>
      <c r="L169" s="59"/>
      <c r="M169"/>
      <c r="N169"/>
      <c r="O169"/>
      <c r="P169"/>
      <c r="Q169"/>
    </row>
    <row r="170" spans="1:17" x14ac:dyDescent="0.3">
      <c r="A170" s="104"/>
      <c r="C170" s="107"/>
      <c r="D170" s="17" t="s">
        <v>27</v>
      </c>
      <c r="E170" s="36">
        <v>132.96125000000023</v>
      </c>
      <c r="F170" s="36">
        <v>116.85611574137327</v>
      </c>
      <c r="G170" s="36">
        <v>104.31599999999956</v>
      </c>
      <c r="H170" s="36">
        <v>83.922500000000028</v>
      </c>
      <c r="I170" s="59"/>
      <c r="J170" s="59"/>
      <c r="K170" s="59"/>
      <c r="L170" s="59"/>
    </row>
    <row r="171" spans="1:17" x14ac:dyDescent="0.3">
      <c r="A171" s="104"/>
      <c r="C171" s="107"/>
      <c r="D171" s="16" t="s">
        <v>28</v>
      </c>
      <c r="E171" s="34">
        <v>121.99469999999953</v>
      </c>
      <c r="F171" s="34">
        <v>105.35099958326894</v>
      </c>
      <c r="G171" s="34">
        <v>91.036000000000044</v>
      </c>
      <c r="H171" s="34">
        <v>74.965000000000103</v>
      </c>
      <c r="I171" s="59"/>
      <c r="J171" s="59"/>
      <c r="K171" s="59"/>
      <c r="L171" s="59"/>
    </row>
    <row r="172" spans="1:17" x14ac:dyDescent="0.3">
      <c r="A172" s="104"/>
      <c r="C172" s="59"/>
      <c r="D172" s="60"/>
      <c r="E172" s="59"/>
      <c r="F172" s="59"/>
      <c r="G172" s="59"/>
      <c r="H172" s="59"/>
      <c r="I172" s="59"/>
      <c r="J172" s="59"/>
      <c r="K172" s="59"/>
      <c r="L172" s="59"/>
    </row>
    <row r="173" spans="1:17" x14ac:dyDescent="0.3">
      <c r="A173" s="1"/>
      <c r="C173" s="59"/>
      <c r="D173" s="60"/>
      <c r="E173" s="59"/>
      <c r="F173" s="59"/>
      <c r="G173" s="59"/>
      <c r="H173" s="59"/>
      <c r="I173" s="59"/>
      <c r="J173" s="59"/>
      <c r="K173" s="59"/>
      <c r="L173" s="59"/>
    </row>
    <row r="174" spans="1:17" ht="18" x14ac:dyDescent="0.35">
      <c r="A174" s="104"/>
      <c r="C174" s="81" t="str">
        <f>D15</f>
        <v>Tarification incitative - Coûts aidés par flux avec ou sans TI (en euros par habitant)</v>
      </c>
      <c r="D174" s="81"/>
      <c r="E174" s="81"/>
      <c r="F174" s="81"/>
      <c r="G174" s="81"/>
      <c r="H174" s="81"/>
      <c r="I174" s="81"/>
      <c r="J174" s="81"/>
      <c r="K174" s="81"/>
      <c r="L174" s="81"/>
    </row>
    <row r="175" spans="1:17" x14ac:dyDescent="0.3">
      <c r="A175" s="104"/>
      <c r="C175" s="106" t="s">
        <v>35</v>
      </c>
      <c r="D175" s="106"/>
      <c r="E175" s="59"/>
      <c r="F175" s="59"/>
      <c r="G175" s="59"/>
      <c r="H175" s="59"/>
      <c r="I175" s="59"/>
      <c r="J175" s="59"/>
      <c r="K175" s="59"/>
      <c r="L175" s="59"/>
    </row>
    <row r="176" spans="1:17" x14ac:dyDescent="0.3">
      <c r="A176" s="104"/>
      <c r="C176" s="66"/>
      <c r="D176" s="60"/>
      <c r="E176" s="113" t="s">
        <v>5</v>
      </c>
      <c r="F176" s="113"/>
      <c r="G176" s="117" t="s">
        <v>6</v>
      </c>
      <c r="H176" s="118"/>
      <c r="I176" s="117" t="s">
        <v>7</v>
      </c>
      <c r="J176" s="118"/>
      <c r="K176" s="117" t="s">
        <v>8</v>
      </c>
      <c r="L176" s="118"/>
    </row>
    <row r="177" spans="1:22" x14ac:dyDescent="0.3">
      <c r="A177" s="104"/>
      <c r="C177" s="59"/>
      <c r="D177" s="59"/>
      <c r="E177" s="2" t="s">
        <v>48</v>
      </c>
      <c r="F177" s="2" t="s">
        <v>49</v>
      </c>
      <c r="G177" s="2" t="s">
        <v>48</v>
      </c>
      <c r="H177" s="2" t="s">
        <v>49</v>
      </c>
      <c r="I177" s="2" t="s">
        <v>48</v>
      </c>
      <c r="J177" s="2" t="s">
        <v>49</v>
      </c>
      <c r="K177" s="2" t="s">
        <v>48</v>
      </c>
      <c r="L177" s="2" t="s">
        <v>49</v>
      </c>
    </row>
    <row r="178" spans="1:22" x14ac:dyDescent="0.3">
      <c r="A178" s="104"/>
      <c r="C178" s="59"/>
      <c r="D178" s="3" t="s">
        <v>36</v>
      </c>
      <c r="E178" s="4">
        <v>329</v>
      </c>
      <c r="F178" s="4">
        <v>129</v>
      </c>
      <c r="G178" s="4">
        <v>329</v>
      </c>
      <c r="H178" s="4">
        <v>129</v>
      </c>
      <c r="I178" s="4">
        <v>329</v>
      </c>
      <c r="J178" s="4">
        <v>129</v>
      </c>
      <c r="K178" s="4">
        <v>329</v>
      </c>
      <c r="L178" s="4">
        <v>129</v>
      </c>
    </row>
    <row r="179" spans="1:22" x14ac:dyDescent="0.3">
      <c r="A179" s="104"/>
      <c r="C179" s="59"/>
      <c r="D179" s="60"/>
      <c r="E179" s="59"/>
      <c r="F179" s="59"/>
      <c r="G179" s="59"/>
      <c r="H179" s="59"/>
      <c r="I179" s="59"/>
      <c r="J179" s="59"/>
      <c r="K179" s="59"/>
      <c r="L179" s="59"/>
    </row>
    <row r="180" spans="1:22" x14ac:dyDescent="0.3">
      <c r="A180" s="104"/>
      <c r="C180" s="59"/>
      <c r="D180" s="60"/>
      <c r="E180" s="113" t="s">
        <v>5</v>
      </c>
      <c r="F180" s="113"/>
      <c r="G180" s="117" t="s">
        <v>6</v>
      </c>
      <c r="H180" s="118"/>
      <c r="I180" s="117" t="s">
        <v>7</v>
      </c>
      <c r="J180" s="118"/>
      <c r="K180" s="117" t="s">
        <v>8</v>
      </c>
      <c r="L180" s="118"/>
    </row>
    <row r="181" spans="1:22" x14ac:dyDescent="0.3">
      <c r="A181" s="104"/>
      <c r="C181" s="59"/>
      <c r="D181" s="59"/>
      <c r="E181" s="2" t="s">
        <v>48</v>
      </c>
      <c r="F181" s="2" t="s">
        <v>49</v>
      </c>
      <c r="G181" s="2" t="s">
        <v>48</v>
      </c>
      <c r="H181" s="2" t="s">
        <v>49</v>
      </c>
      <c r="I181" s="2" t="s">
        <v>48</v>
      </c>
      <c r="J181" s="2" t="s">
        <v>49</v>
      </c>
      <c r="K181" s="2" t="s">
        <v>48</v>
      </c>
      <c r="L181" s="2" t="s">
        <v>49</v>
      </c>
    </row>
    <row r="182" spans="1:22" x14ac:dyDescent="0.3">
      <c r="A182" s="104"/>
      <c r="C182" s="107" t="s">
        <v>39</v>
      </c>
      <c r="D182" s="16" t="s">
        <v>23</v>
      </c>
      <c r="E182" s="28">
        <v>89.824000000000325</v>
      </c>
      <c r="F182" s="28">
        <v>57.404000000000202</v>
      </c>
      <c r="G182" s="28">
        <v>4.5589999999999833</v>
      </c>
      <c r="H182" s="28">
        <v>3.2649999999999908</v>
      </c>
      <c r="I182" s="28">
        <v>28.149000000000051</v>
      </c>
      <c r="J182" s="28">
        <v>22.07299999999999</v>
      </c>
      <c r="K182" s="28">
        <v>53.548000000000158</v>
      </c>
      <c r="L182" s="28">
        <v>46.16200000000002</v>
      </c>
      <c r="M182" s="19"/>
      <c r="N182" s="19"/>
    </row>
    <row r="183" spans="1:22" x14ac:dyDescent="0.3">
      <c r="A183" s="104"/>
      <c r="C183" s="107"/>
      <c r="D183" s="17" t="s">
        <v>24</v>
      </c>
      <c r="E183" s="33">
        <v>71.812999999999548</v>
      </c>
      <c r="F183" s="33">
        <v>49.753499999999875</v>
      </c>
      <c r="G183" s="33">
        <v>2.8635000000000157</v>
      </c>
      <c r="H183" s="33">
        <v>2.4455</v>
      </c>
      <c r="I183" s="33">
        <v>21.510000000000151</v>
      </c>
      <c r="J183" s="33">
        <v>17.86349999999997</v>
      </c>
      <c r="K183" s="33">
        <v>44.068999999999889</v>
      </c>
      <c r="L183" s="33">
        <v>42.108500000000014</v>
      </c>
      <c r="M183" s="19"/>
      <c r="N183" s="19"/>
    </row>
    <row r="184" spans="1:22" s="25" customFormat="1" ht="18" customHeight="1" x14ac:dyDescent="0.3">
      <c r="A184" s="104"/>
      <c r="C184" s="107"/>
      <c r="D184" s="31" t="s">
        <v>26</v>
      </c>
      <c r="E184" s="34">
        <v>59.667000000000051</v>
      </c>
      <c r="F184" s="34">
        <v>40.481000000000037</v>
      </c>
      <c r="G184" s="34">
        <v>1.7660000000000029</v>
      </c>
      <c r="H184" s="34">
        <v>1.6649999999999985</v>
      </c>
      <c r="I184" s="34">
        <v>15.057999999999996</v>
      </c>
      <c r="J184" s="34">
        <v>12.295000000000014</v>
      </c>
      <c r="K184" s="34">
        <v>36.093000000000167</v>
      </c>
      <c r="L184" s="34">
        <v>35.511000000000017</v>
      </c>
      <c r="M184" s="27"/>
      <c r="N184" s="27"/>
      <c r="O184"/>
      <c r="P184"/>
      <c r="Q184"/>
      <c r="R184"/>
      <c r="S184"/>
      <c r="T184"/>
      <c r="U184"/>
      <c r="V184"/>
    </row>
    <row r="185" spans="1:22" x14ac:dyDescent="0.3">
      <c r="A185" s="104"/>
      <c r="C185" s="107"/>
      <c r="D185" s="17" t="s">
        <v>27</v>
      </c>
      <c r="E185" s="36">
        <v>49.855499999999758</v>
      </c>
      <c r="F185" s="36">
        <v>34.369000000000028</v>
      </c>
      <c r="G185" s="36">
        <v>1.1530000000000045</v>
      </c>
      <c r="H185" s="36">
        <v>1.0535000000000005</v>
      </c>
      <c r="I185" s="36">
        <v>9.4189999999999845</v>
      </c>
      <c r="J185" s="36">
        <v>10.114000000000015</v>
      </c>
      <c r="K185" s="36">
        <v>29.403500000000168</v>
      </c>
      <c r="L185" s="36">
        <v>30.320999999999941</v>
      </c>
      <c r="M185" s="19"/>
      <c r="N185" s="19"/>
    </row>
    <row r="186" spans="1:22" x14ac:dyDescent="0.3">
      <c r="A186" s="104"/>
      <c r="C186" s="107"/>
      <c r="D186" s="16" t="s">
        <v>28</v>
      </c>
      <c r="E186" s="34">
        <v>43.180000000000184</v>
      </c>
      <c r="F186" s="34">
        <v>30.791999999999945</v>
      </c>
      <c r="G186" s="34">
        <v>0.76200000000000034</v>
      </c>
      <c r="H186" s="34">
        <v>0.59899999999999931</v>
      </c>
      <c r="I186" s="34">
        <v>6.666999999999959</v>
      </c>
      <c r="J186" s="34">
        <v>5.2839999999999945</v>
      </c>
      <c r="K186" s="34">
        <v>24.564999999999827</v>
      </c>
      <c r="L186" s="34">
        <v>25.001000000000062</v>
      </c>
      <c r="M186" s="19"/>
      <c r="N186" s="19"/>
    </row>
    <row r="187" spans="1:22" x14ac:dyDescent="0.3">
      <c r="A187" s="104"/>
      <c r="C187" s="59"/>
      <c r="D187" s="60"/>
      <c r="E187" s="59"/>
      <c r="F187" s="59"/>
      <c r="G187" s="59"/>
      <c r="H187" s="59"/>
      <c r="I187" s="59"/>
      <c r="J187" s="59"/>
      <c r="K187" s="59"/>
      <c r="L187" s="59"/>
    </row>
    <row r="188" spans="1:22" x14ac:dyDescent="0.3">
      <c r="C188" s="59"/>
      <c r="D188" s="60"/>
      <c r="E188" s="59"/>
      <c r="F188" s="59"/>
      <c r="G188" s="59"/>
      <c r="H188" s="59"/>
      <c r="I188" s="59"/>
      <c r="J188" s="59"/>
      <c r="K188" s="59"/>
      <c r="L188" s="59"/>
    </row>
    <row r="189" spans="1:22" ht="18" x14ac:dyDescent="0.35">
      <c r="C189" s="81" t="str">
        <f>D16</f>
        <v>Tarification incitative - Coûts aidés tous flux par typologie d'habitat avec ou sans TI (en euros par habitant)</v>
      </c>
      <c r="D189" s="81"/>
      <c r="E189" s="81"/>
      <c r="F189" s="81"/>
      <c r="G189" s="81"/>
      <c r="H189" s="81"/>
      <c r="I189" s="81"/>
      <c r="J189" s="81"/>
      <c r="K189" s="81"/>
      <c r="L189" s="81"/>
    </row>
    <row r="190" spans="1:22" x14ac:dyDescent="0.3">
      <c r="C190" s="106" t="s">
        <v>35</v>
      </c>
      <c r="D190" s="106"/>
    </row>
    <row r="191" spans="1:22" ht="14.4" customHeight="1" x14ac:dyDescent="0.3">
      <c r="C191" s="66"/>
      <c r="D191" s="60"/>
      <c r="E191" s="117" t="s">
        <v>14</v>
      </c>
      <c r="F191" s="118"/>
      <c r="G191" s="117" t="s">
        <v>15</v>
      </c>
      <c r="H191" s="118"/>
      <c r="I191" s="117" t="s">
        <v>16</v>
      </c>
      <c r="J191" s="118"/>
    </row>
    <row r="192" spans="1:22" x14ac:dyDescent="0.3">
      <c r="C192" s="59"/>
      <c r="D192" s="59"/>
      <c r="E192" s="2" t="s">
        <v>48</v>
      </c>
      <c r="F192" s="2" t="s">
        <v>49</v>
      </c>
      <c r="G192" s="2" t="s">
        <v>48</v>
      </c>
      <c r="H192" s="2" t="s">
        <v>49</v>
      </c>
      <c r="I192" s="2" t="s">
        <v>48</v>
      </c>
      <c r="J192" s="2" t="s">
        <v>49</v>
      </c>
    </row>
    <row r="193" spans="1:17" x14ac:dyDescent="0.3">
      <c r="C193" s="59"/>
      <c r="D193" s="3" t="s">
        <v>36</v>
      </c>
      <c r="E193" s="4">
        <v>152</v>
      </c>
      <c r="F193" s="4">
        <v>58</v>
      </c>
      <c r="G193" s="4">
        <v>125</v>
      </c>
      <c r="H193" s="4">
        <v>57</v>
      </c>
      <c r="I193" s="4">
        <v>52</v>
      </c>
      <c r="J193" s="4">
        <v>14</v>
      </c>
    </row>
    <row r="195" spans="1:17" x14ac:dyDescent="0.3">
      <c r="C195" s="59"/>
      <c r="D195" s="60"/>
      <c r="E195" s="59"/>
      <c r="F195" s="59"/>
      <c r="G195" s="59"/>
      <c r="H195" s="59"/>
      <c r="I195" s="59"/>
      <c r="J195" s="59"/>
    </row>
    <row r="196" spans="1:17" ht="14.4" customHeight="1" x14ac:dyDescent="0.3">
      <c r="C196" s="59"/>
      <c r="D196" s="60"/>
      <c r="E196" s="117" t="s">
        <v>14</v>
      </c>
      <c r="F196" s="118"/>
      <c r="G196" s="117" t="s">
        <v>15</v>
      </c>
      <c r="H196" s="118"/>
      <c r="I196" s="117" t="s">
        <v>16</v>
      </c>
      <c r="J196" s="118"/>
    </row>
    <row r="197" spans="1:17" x14ac:dyDescent="0.3">
      <c r="C197" s="59"/>
      <c r="D197" s="59"/>
      <c r="E197" s="2" t="s">
        <v>48</v>
      </c>
      <c r="F197" s="2" t="s">
        <v>49</v>
      </c>
      <c r="G197" s="2" t="s">
        <v>48</v>
      </c>
      <c r="H197" s="2" t="s">
        <v>49</v>
      </c>
      <c r="I197" s="2" t="s">
        <v>48</v>
      </c>
      <c r="J197" s="2" t="s">
        <v>49</v>
      </c>
    </row>
    <row r="198" spans="1:17" x14ac:dyDescent="0.3">
      <c r="C198" s="107" t="s">
        <v>39</v>
      </c>
      <c r="D198" s="16" t="s">
        <v>23</v>
      </c>
      <c r="E198" s="28">
        <v>157.15060000000054</v>
      </c>
      <c r="F198" s="28">
        <v>121.47689999999992</v>
      </c>
      <c r="G198" s="28">
        <v>178.58580000000043</v>
      </c>
      <c r="H198" s="28">
        <v>123.01339999999988</v>
      </c>
      <c r="I198" s="28">
        <v>177.75580000000002</v>
      </c>
      <c r="J198" s="28">
        <v>147.1865</v>
      </c>
    </row>
    <row r="199" spans="1:17" x14ac:dyDescent="0.3">
      <c r="C199" s="107"/>
      <c r="D199" s="17" t="s">
        <v>24</v>
      </c>
      <c r="E199" s="33">
        <v>134.96875</v>
      </c>
      <c r="F199" s="33">
        <v>107.18149999999993</v>
      </c>
      <c r="G199" s="33">
        <v>141.56400000000008</v>
      </c>
      <c r="H199" s="33">
        <v>110.61800000000011</v>
      </c>
      <c r="I199" s="33">
        <v>146.41474999999994</v>
      </c>
      <c r="J199" s="33">
        <v>122.30275000000005</v>
      </c>
    </row>
    <row r="200" spans="1:17" s="25" customFormat="1" ht="18" customHeight="1" x14ac:dyDescent="0.3">
      <c r="A200"/>
      <c r="C200" s="107"/>
      <c r="D200" s="31" t="s">
        <v>26</v>
      </c>
      <c r="E200" s="34">
        <v>119.23650000000032</v>
      </c>
      <c r="F200" s="34">
        <v>92.172499999999957</v>
      </c>
      <c r="G200" s="34">
        <v>118.3889999999997</v>
      </c>
      <c r="H200" s="34">
        <v>98.831000000000074</v>
      </c>
      <c r="I200" s="34">
        <v>120.18649999999987</v>
      </c>
      <c r="J200" s="34">
        <v>108.7265</v>
      </c>
      <c r="K200"/>
      <c r="L200"/>
      <c r="M200"/>
      <c r="N200"/>
      <c r="O200"/>
      <c r="P200"/>
      <c r="Q200"/>
    </row>
    <row r="201" spans="1:17" x14ac:dyDescent="0.3">
      <c r="C201" s="107"/>
      <c r="D201" s="17" t="s">
        <v>27</v>
      </c>
      <c r="E201" s="36">
        <v>102.38099999999979</v>
      </c>
      <c r="F201" s="36">
        <v>81.909250000000014</v>
      </c>
      <c r="G201" s="36">
        <v>102.40300000000013</v>
      </c>
      <c r="H201" s="36">
        <v>85.114499999999992</v>
      </c>
      <c r="I201" s="36">
        <v>107.87550000000009</v>
      </c>
      <c r="J201" s="36">
        <v>100.6525</v>
      </c>
    </row>
    <row r="202" spans="1:17" x14ac:dyDescent="0.3">
      <c r="C202" s="107"/>
      <c r="D202" s="16" t="s">
        <v>28</v>
      </c>
      <c r="E202" s="34">
        <v>90.720900000000142</v>
      </c>
      <c r="F202" s="34">
        <v>76.421600000000012</v>
      </c>
      <c r="G202" s="34">
        <v>90.325999999999766</v>
      </c>
      <c r="H202" s="34">
        <v>74.046199999999885</v>
      </c>
      <c r="I202" s="34">
        <v>92.924599999999984</v>
      </c>
      <c r="J202" s="34">
        <v>87.595000000000013</v>
      </c>
      <c r="O202" s="19"/>
    </row>
    <row r="203" spans="1:17" x14ac:dyDescent="0.3">
      <c r="O203" s="19"/>
    </row>
    <row r="204" spans="1:17" x14ac:dyDescent="0.3">
      <c r="C204" s="59"/>
      <c r="D204" s="60"/>
      <c r="E204" s="117" t="s">
        <v>14</v>
      </c>
      <c r="F204" s="118"/>
      <c r="G204" s="117" t="s">
        <v>15</v>
      </c>
      <c r="H204" s="118"/>
      <c r="I204" s="117" t="s">
        <v>16</v>
      </c>
      <c r="J204" s="118"/>
      <c r="O204" s="19"/>
    </row>
    <row r="205" spans="1:17" x14ac:dyDescent="0.3">
      <c r="C205" s="59"/>
      <c r="D205" s="59"/>
      <c r="E205" s="2" t="s">
        <v>48</v>
      </c>
      <c r="F205" s="2" t="s">
        <v>49</v>
      </c>
      <c r="G205" s="2" t="s">
        <v>48</v>
      </c>
      <c r="H205" s="2" t="s">
        <v>49</v>
      </c>
      <c r="I205" s="2" t="s">
        <v>48</v>
      </c>
      <c r="J205" s="2" t="s">
        <v>49</v>
      </c>
      <c r="O205" s="19"/>
    </row>
    <row r="206" spans="1:17" ht="14.4" customHeight="1" x14ac:dyDescent="0.3">
      <c r="C206" s="108" t="s">
        <v>40</v>
      </c>
      <c r="D206" s="5" t="s">
        <v>23</v>
      </c>
      <c r="E206" s="6">
        <v>290.32729999999975</v>
      </c>
      <c r="F206" s="6">
        <v>264.33239999999978</v>
      </c>
      <c r="G206" s="6">
        <v>300.31900000000013</v>
      </c>
      <c r="H206" s="6">
        <v>248.13299999999984</v>
      </c>
      <c r="I206" s="6">
        <v>279.94360000000012</v>
      </c>
      <c r="J206" s="6">
        <v>301.22850000000005</v>
      </c>
      <c r="O206" s="19"/>
    </row>
    <row r="207" spans="1:17" x14ac:dyDescent="0.3">
      <c r="C207" s="108"/>
      <c r="D207" s="7" t="s">
        <v>24</v>
      </c>
      <c r="E207" s="8">
        <v>258.10149999999987</v>
      </c>
      <c r="F207" s="8">
        <v>230.57775000000026</v>
      </c>
      <c r="G207" s="8">
        <v>268.12350000000066</v>
      </c>
      <c r="H207" s="8">
        <v>228.0185000000001</v>
      </c>
      <c r="I207" s="8">
        <v>252.98949999999982</v>
      </c>
      <c r="J207" s="8">
        <v>263.87874999999991</v>
      </c>
      <c r="O207" s="19"/>
    </row>
    <row r="208" spans="1:17" x14ac:dyDescent="0.3">
      <c r="C208" s="108"/>
      <c r="D208" s="5" t="s">
        <v>26</v>
      </c>
      <c r="E208" s="9">
        <v>219.98099999999982</v>
      </c>
      <c r="F208" s="9">
        <v>202.98550000000009</v>
      </c>
      <c r="G208" s="9">
        <v>219.84400000000014</v>
      </c>
      <c r="H208" s="9">
        <v>200.2530000000001</v>
      </c>
      <c r="I208" s="9">
        <v>222.04049999999978</v>
      </c>
      <c r="J208" s="9">
        <v>225.18299999999999</v>
      </c>
      <c r="O208" s="19"/>
    </row>
    <row r="209" spans="1:18" x14ac:dyDescent="0.3">
      <c r="C209" s="108"/>
      <c r="D209" s="7" t="s">
        <v>27</v>
      </c>
      <c r="E209" s="10">
        <v>190.19774999999959</v>
      </c>
      <c r="F209" s="10">
        <v>176.02449999999973</v>
      </c>
      <c r="G209" s="10">
        <v>183.06000000000026</v>
      </c>
      <c r="H209" s="10">
        <v>181.65400000000025</v>
      </c>
      <c r="I209" s="10">
        <v>192.05475000000004</v>
      </c>
      <c r="J209" s="10">
        <v>192.72949999999994</v>
      </c>
      <c r="O209" s="19"/>
    </row>
    <row r="210" spans="1:18" x14ac:dyDescent="0.3">
      <c r="C210" s="108"/>
      <c r="D210" s="5" t="s">
        <v>28</v>
      </c>
      <c r="E210" s="9">
        <v>149.71970000000024</v>
      </c>
      <c r="F210" s="9">
        <v>141.98570000000012</v>
      </c>
      <c r="G210" s="9">
        <v>156.15940000000035</v>
      </c>
      <c r="H210" s="9">
        <v>157.63780000000023</v>
      </c>
      <c r="I210" s="9">
        <v>163.73769999999988</v>
      </c>
      <c r="J210" s="9">
        <v>154.45399999999998</v>
      </c>
      <c r="O210" s="19"/>
    </row>
    <row r="211" spans="1:18" x14ac:dyDescent="0.3">
      <c r="O211" s="19"/>
    </row>
    <row r="213" spans="1:18" ht="18" x14ac:dyDescent="0.35">
      <c r="C213" s="81" t="str">
        <f>D17</f>
        <v>Tarification incitative - Coûts aidés des OMR par typologie d'habitat avec ou sans TI (en euros par habitant)</v>
      </c>
      <c r="D213" s="81"/>
      <c r="E213" s="81"/>
      <c r="F213" s="81"/>
      <c r="G213" s="81"/>
      <c r="H213" s="81"/>
      <c r="I213" s="81"/>
      <c r="J213" s="81"/>
      <c r="K213" s="81"/>
      <c r="L213" s="81"/>
    </row>
    <row r="214" spans="1:18" x14ac:dyDescent="0.3">
      <c r="C214" s="106" t="s">
        <v>35</v>
      </c>
      <c r="D214" s="106"/>
    </row>
    <row r="215" spans="1:18" ht="14.4" customHeight="1" x14ac:dyDescent="0.3">
      <c r="C215" s="66"/>
      <c r="D215" s="60"/>
      <c r="E215" s="117" t="s">
        <v>14</v>
      </c>
      <c r="F215" s="118"/>
      <c r="G215" s="117" t="s">
        <v>15</v>
      </c>
      <c r="H215" s="118"/>
      <c r="I215" s="117" t="s">
        <v>16</v>
      </c>
      <c r="J215" s="118"/>
    </row>
    <row r="216" spans="1:18" x14ac:dyDescent="0.3">
      <c r="C216" s="59"/>
      <c r="D216" s="59"/>
      <c r="E216" s="2" t="s">
        <v>48</v>
      </c>
      <c r="F216" s="2" t="s">
        <v>49</v>
      </c>
      <c r="G216" s="2" t="s">
        <v>48</v>
      </c>
      <c r="H216" s="2" t="s">
        <v>49</v>
      </c>
      <c r="I216" s="2" t="s">
        <v>48</v>
      </c>
      <c r="J216" s="2" t="s">
        <v>49</v>
      </c>
    </row>
    <row r="217" spans="1:18" x14ac:dyDescent="0.3">
      <c r="C217" s="59"/>
      <c r="D217" s="3" t="s">
        <v>36</v>
      </c>
      <c r="E217" s="4">
        <v>152</v>
      </c>
      <c r="F217" s="4">
        <v>58</v>
      </c>
      <c r="G217" s="4">
        <v>125</v>
      </c>
      <c r="H217" s="4">
        <v>57</v>
      </c>
      <c r="I217" s="4">
        <v>52</v>
      </c>
      <c r="J217" s="4">
        <v>14</v>
      </c>
    </row>
    <row r="219" spans="1:18" x14ac:dyDescent="0.3">
      <c r="C219" s="59"/>
      <c r="D219" s="60"/>
      <c r="E219" s="59"/>
      <c r="F219" s="59"/>
      <c r="G219" s="59"/>
      <c r="H219" s="59"/>
      <c r="I219" s="59"/>
      <c r="J219" s="59"/>
    </row>
    <row r="220" spans="1:18" ht="14.4" customHeight="1" x14ac:dyDescent="0.3">
      <c r="C220" s="59"/>
      <c r="D220" s="60"/>
      <c r="E220" s="117" t="s">
        <v>14</v>
      </c>
      <c r="F220" s="118"/>
      <c r="G220" s="117" t="s">
        <v>15</v>
      </c>
      <c r="H220" s="118"/>
      <c r="I220" s="117" t="s">
        <v>16</v>
      </c>
      <c r="J220" s="118"/>
    </row>
    <row r="221" spans="1:18" x14ac:dyDescent="0.3">
      <c r="C221" s="59"/>
      <c r="D221" s="59"/>
      <c r="E221" s="2" t="s">
        <v>48</v>
      </c>
      <c r="F221" s="2" t="s">
        <v>49</v>
      </c>
      <c r="G221" s="2" t="s">
        <v>48</v>
      </c>
      <c r="H221" s="2" t="s">
        <v>49</v>
      </c>
      <c r="I221" s="2" t="s">
        <v>48</v>
      </c>
      <c r="J221" s="2" t="s">
        <v>49</v>
      </c>
    </row>
    <row r="222" spans="1:18" x14ac:dyDescent="0.3">
      <c r="C222" s="107" t="s">
        <v>39</v>
      </c>
      <c r="D222" s="16" t="s">
        <v>23</v>
      </c>
      <c r="E222" s="28">
        <v>79.642299999999992</v>
      </c>
      <c r="F222" s="28">
        <v>56.553699999999964</v>
      </c>
      <c r="G222" s="28">
        <v>95.426600000000107</v>
      </c>
      <c r="H222" s="28">
        <v>57.562199999999962</v>
      </c>
      <c r="I222" s="28">
        <v>99.152900000000031</v>
      </c>
      <c r="J222" s="28">
        <v>78.743500000000012</v>
      </c>
    </row>
    <row r="223" spans="1:18" x14ac:dyDescent="0.3">
      <c r="C223" s="107"/>
      <c r="D223" s="17" t="s">
        <v>24</v>
      </c>
      <c r="E223" s="33">
        <v>68.080250000000163</v>
      </c>
      <c r="F223" s="33">
        <v>47.917999999999992</v>
      </c>
      <c r="G223" s="33">
        <v>74.77349999999997</v>
      </c>
      <c r="H223" s="33">
        <v>50.491500000000045</v>
      </c>
      <c r="I223" s="33">
        <v>76.965250000000083</v>
      </c>
      <c r="J223" s="33">
        <v>52.1235</v>
      </c>
    </row>
    <row r="224" spans="1:18" s="25" customFormat="1" ht="18" customHeight="1" x14ac:dyDescent="0.3">
      <c r="A224"/>
      <c r="C224" s="107"/>
      <c r="D224" s="31" t="s">
        <v>26</v>
      </c>
      <c r="E224" s="34">
        <v>58.179500000000132</v>
      </c>
      <c r="F224" s="34">
        <v>39.772999999999982</v>
      </c>
      <c r="G224" s="34">
        <v>61.36399999999982</v>
      </c>
      <c r="H224" s="34">
        <v>40.481000000000023</v>
      </c>
      <c r="I224" s="34">
        <v>61.465000000000032</v>
      </c>
      <c r="J224" s="34">
        <v>43.459999999999994</v>
      </c>
      <c r="K224"/>
      <c r="L224"/>
      <c r="M224"/>
      <c r="N224"/>
      <c r="O224"/>
      <c r="P224"/>
      <c r="Q224"/>
      <c r="R224"/>
    </row>
    <row r="225" spans="3:15" x14ac:dyDescent="0.3">
      <c r="C225" s="107"/>
      <c r="D225" s="17" t="s">
        <v>27</v>
      </c>
      <c r="E225" s="36">
        <v>47.713999999999949</v>
      </c>
      <c r="F225" s="36">
        <v>34.644250000000042</v>
      </c>
      <c r="G225" s="36">
        <v>50.13050000000014</v>
      </c>
      <c r="H225" s="36">
        <v>32.892000000000039</v>
      </c>
      <c r="I225" s="36">
        <v>51.724000000000018</v>
      </c>
      <c r="J225" s="36">
        <v>36.397499999999994</v>
      </c>
    </row>
    <row r="226" spans="3:15" x14ac:dyDescent="0.3">
      <c r="C226" s="107"/>
      <c r="D226" s="16" t="s">
        <v>28</v>
      </c>
      <c r="E226" s="34">
        <v>41.80069999999985</v>
      </c>
      <c r="F226" s="34">
        <v>31.873299999999976</v>
      </c>
      <c r="G226" s="34">
        <v>43.907799999999959</v>
      </c>
      <c r="H226" s="34">
        <v>28.011199999999985</v>
      </c>
      <c r="I226" s="34">
        <v>42.641399999999983</v>
      </c>
      <c r="J226" s="34">
        <v>29.852500000000003</v>
      </c>
    </row>
    <row r="228" spans="3:15" x14ac:dyDescent="0.3">
      <c r="C228" s="59"/>
      <c r="D228" s="60"/>
      <c r="E228" s="117" t="s">
        <v>14</v>
      </c>
      <c r="F228" s="118"/>
      <c r="G228" s="117" t="s">
        <v>15</v>
      </c>
      <c r="H228" s="118"/>
      <c r="I228" s="117" t="s">
        <v>16</v>
      </c>
      <c r="J228" s="118"/>
    </row>
    <row r="229" spans="3:15" x14ac:dyDescent="0.3">
      <c r="C229" s="59"/>
      <c r="D229" s="59"/>
      <c r="E229" s="2" t="s">
        <v>48</v>
      </c>
      <c r="F229" s="2" t="s">
        <v>49</v>
      </c>
      <c r="G229" s="2" t="s">
        <v>48</v>
      </c>
      <c r="H229" s="2" t="s">
        <v>49</v>
      </c>
      <c r="I229" s="2" t="s">
        <v>48</v>
      </c>
      <c r="J229" s="2" t="s">
        <v>49</v>
      </c>
    </row>
    <row r="230" spans="3:15" ht="14.4" customHeight="1" x14ac:dyDescent="0.3">
      <c r="C230" s="108" t="s">
        <v>40</v>
      </c>
      <c r="D230" s="5" t="s">
        <v>23</v>
      </c>
      <c r="E230" s="6">
        <v>410.50310000000127</v>
      </c>
      <c r="F230" s="6">
        <v>496.23440000000039</v>
      </c>
      <c r="G230" s="6">
        <v>388.5426000000005</v>
      </c>
      <c r="H230" s="6">
        <v>455.35659999999939</v>
      </c>
      <c r="I230" s="6">
        <v>371.22989999999993</v>
      </c>
      <c r="J230" s="6">
        <v>430.76400000000007</v>
      </c>
    </row>
    <row r="231" spans="3:15" x14ac:dyDescent="0.3">
      <c r="C231" s="108"/>
      <c r="D231" s="7" t="s">
        <v>24</v>
      </c>
      <c r="E231" s="8">
        <v>373.20199999999915</v>
      </c>
      <c r="F231" s="8">
        <v>402.49250000000023</v>
      </c>
      <c r="G231" s="8">
        <v>354.49250000000023</v>
      </c>
      <c r="H231" s="8">
        <v>415.94499999999977</v>
      </c>
      <c r="I231" s="8">
        <v>338.32450000000011</v>
      </c>
      <c r="J231" s="8">
        <v>395.50799999999992</v>
      </c>
    </row>
    <row r="232" spans="3:15" x14ac:dyDescent="0.3">
      <c r="C232" s="108"/>
      <c r="D232" s="5" t="s">
        <v>26</v>
      </c>
      <c r="E232" s="9">
        <v>318.58600000000069</v>
      </c>
      <c r="F232" s="9">
        <v>353.59249999999997</v>
      </c>
      <c r="G232" s="9">
        <v>313.30399999999946</v>
      </c>
      <c r="H232" s="9">
        <v>361.77200000000045</v>
      </c>
      <c r="I232" s="9">
        <v>291.15899999999976</v>
      </c>
      <c r="J232" s="9">
        <v>344.22249999999991</v>
      </c>
    </row>
    <row r="233" spans="3:15" x14ac:dyDescent="0.3">
      <c r="C233" s="108"/>
      <c r="D233" s="7" t="s">
        <v>27</v>
      </c>
      <c r="E233" s="10">
        <v>279.6515</v>
      </c>
      <c r="F233" s="10">
        <v>311.07300000000021</v>
      </c>
      <c r="G233" s="10">
        <v>264.44050000000038</v>
      </c>
      <c r="H233" s="10">
        <v>322.87650000000002</v>
      </c>
      <c r="I233" s="10">
        <v>265.11249999999978</v>
      </c>
      <c r="J233" s="10">
        <v>262.90549999999996</v>
      </c>
    </row>
    <row r="234" spans="3:15" x14ac:dyDescent="0.3">
      <c r="C234" s="108"/>
      <c r="D234" s="5" t="s">
        <v>28</v>
      </c>
      <c r="E234" s="9">
        <v>237.68270000000021</v>
      </c>
      <c r="F234" s="9">
        <v>276.65669999999966</v>
      </c>
      <c r="G234" s="9">
        <v>225.34319999999957</v>
      </c>
      <c r="H234" s="9">
        <v>258.45340000000022</v>
      </c>
      <c r="I234" s="9">
        <v>223.42109999999974</v>
      </c>
      <c r="J234" s="9">
        <v>230.67099999999996</v>
      </c>
    </row>
    <row r="235" spans="3:15" x14ac:dyDescent="0.3">
      <c r="O235" s="19"/>
    </row>
    <row r="237" spans="3:15" ht="18" x14ac:dyDescent="0.35">
      <c r="C237" s="81" t="str">
        <f>D18</f>
        <v>Tarification incitative - Coûts aidés du verre par typologie d'habitat avec ou sans TI (en euros par habitant)</v>
      </c>
      <c r="D237" s="81"/>
      <c r="E237" s="81"/>
      <c r="F237" s="81"/>
      <c r="G237" s="81"/>
      <c r="H237" s="81"/>
      <c r="I237" s="81"/>
      <c r="J237" s="81"/>
      <c r="K237" s="81"/>
      <c r="L237" s="81"/>
    </row>
    <row r="238" spans="3:15" x14ac:dyDescent="0.3">
      <c r="C238" s="106" t="s">
        <v>35</v>
      </c>
      <c r="D238" s="106"/>
    </row>
    <row r="239" spans="3:15" ht="14.4" customHeight="1" x14ac:dyDescent="0.3">
      <c r="C239" s="66"/>
      <c r="D239" s="60"/>
      <c r="E239" s="117" t="s">
        <v>14</v>
      </c>
      <c r="F239" s="118"/>
      <c r="G239" s="117" t="s">
        <v>15</v>
      </c>
      <c r="H239" s="118"/>
      <c r="I239" s="117" t="s">
        <v>16</v>
      </c>
      <c r="J239" s="118"/>
    </row>
    <row r="240" spans="3:15" x14ac:dyDescent="0.3">
      <c r="C240" s="59"/>
      <c r="D240" s="59"/>
      <c r="E240" s="2" t="s">
        <v>48</v>
      </c>
      <c r="F240" s="2" t="s">
        <v>49</v>
      </c>
      <c r="G240" s="2" t="s">
        <v>48</v>
      </c>
      <c r="H240" s="2" t="s">
        <v>49</v>
      </c>
      <c r="I240" s="2" t="s">
        <v>48</v>
      </c>
      <c r="J240" s="2" t="s">
        <v>49</v>
      </c>
    </row>
    <row r="241" spans="1:17" x14ac:dyDescent="0.3">
      <c r="C241" s="59"/>
      <c r="D241" s="3" t="s">
        <v>36</v>
      </c>
      <c r="E241" s="4">
        <v>152</v>
      </c>
      <c r="F241" s="4">
        <v>58</v>
      </c>
      <c r="G241" s="4">
        <v>125</v>
      </c>
      <c r="H241" s="4">
        <v>57</v>
      </c>
      <c r="I241" s="4">
        <v>52</v>
      </c>
      <c r="J241" s="4">
        <v>14</v>
      </c>
    </row>
    <row r="243" spans="1:17" x14ac:dyDescent="0.3">
      <c r="C243" s="59"/>
      <c r="D243" s="60"/>
      <c r="E243" s="59"/>
      <c r="F243" s="59"/>
      <c r="G243" s="59"/>
      <c r="H243" s="59"/>
      <c r="I243" s="59"/>
      <c r="J243" s="59"/>
    </row>
    <row r="244" spans="1:17" ht="14.4" customHeight="1" x14ac:dyDescent="0.3">
      <c r="C244" s="59"/>
      <c r="D244" s="60"/>
      <c r="E244" s="117" t="s">
        <v>14</v>
      </c>
      <c r="F244" s="118"/>
      <c r="G244" s="117" t="s">
        <v>15</v>
      </c>
      <c r="H244" s="118"/>
      <c r="I244" s="117" t="s">
        <v>16</v>
      </c>
      <c r="J244" s="118"/>
    </row>
    <row r="245" spans="1:17" x14ac:dyDescent="0.3">
      <c r="C245" s="59"/>
      <c r="D245" s="59"/>
      <c r="E245" s="2" t="s">
        <v>48</v>
      </c>
      <c r="F245" s="2" t="s">
        <v>49</v>
      </c>
      <c r="G245" s="2" t="s">
        <v>48</v>
      </c>
      <c r="H245" s="2" t="s">
        <v>49</v>
      </c>
      <c r="I245" s="2" t="s">
        <v>48</v>
      </c>
      <c r="J245" s="2" t="s">
        <v>49</v>
      </c>
    </row>
    <row r="246" spans="1:17" x14ac:dyDescent="0.3">
      <c r="C246" s="107" t="s">
        <v>39</v>
      </c>
      <c r="D246" s="16" t="s">
        <v>23</v>
      </c>
      <c r="E246" s="28">
        <v>4.0240000000000018</v>
      </c>
      <c r="F246" s="28">
        <v>3.1933999999999978</v>
      </c>
      <c r="G246" s="28">
        <v>4.9875999999999996</v>
      </c>
      <c r="H246" s="28">
        <v>3.1273999999999971</v>
      </c>
      <c r="I246" s="28">
        <v>4.9979999999999958</v>
      </c>
      <c r="J246" s="28">
        <v>5.1889999999999992</v>
      </c>
    </row>
    <row r="247" spans="1:17" x14ac:dyDescent="0.3">
      <c r="C247" s="107"/>
      <c r="D247" s="17" t="s">
        <v>24</v>
      </c>
      <c r="E247" s="33">
        <v>2.8174999999999968</v>
      </c>
      <c r="F247" s="33">
        <v>2.4722500000000016</v>
      </c>
      <c r="G247" s="33">
        <v>2.8405000000000031</v>
      </c>
      <c r="H247" s="33">
        <v>2.3944999999999972</v>
      </c>
      <c r="I247" s="33">
        <v>3.3322499999999979</v>
      </c>
      <c r="J247" s="33">
        <v>3.0177499999999999</v>
      </c>
    </row>
    <row r="248" spans="1:17" s="25" customFormat="1" ht="18" customHeight="1" x14ac:dyDescent="0.3">
      <c r="A248"/>
      <c r="C248" s="107"/>
      <c r="D248" s="31" t="s">
        <v>26</v>
      </c>
      <c r="E248" s="34">
        <v>1.6365000000000052</v>
      </c>
      <c r="F248" s="34">
        <v>1.6430000000000005</v>
      </c>
      <c r="G248" s="34">
        <v>1.8209999999999984</v>
      </c>
      <c r="H248" s="34">
        <v>1.5190000000000006</v>
      </c>
      <c r="I248" s="34">
        <v>2.0714999999999999</v>
      </c>
      <c r="J248" s="34">
        <v>2.0189999999999992</v>
      </c>
      <c r="K248"/>
      <c r="L248"/>
      <c r="M248"/>
      <c r="N248"/>
      <c r="O248"/>
      <c r="P248"/>
      <c r="Q248"/>
    </row>
    <row r="249" spans="1:17" x14ac:dyDescent="0.3">
      <c r="C249" s="107"/>
      <c r="D249" s="17" t="s">
        <v>27</v>
      </c>
      <c r="E249" s="36">
        <v>1.1349999999999993</v>
      </c>
      <c r="F249" s="36">
        <v>0.81799999999999973</v>
      </c>
      <c r="G249" s="36">
        <v>1.0810000000000015</v>
      </c>
      <c r="H249" s="36">
        <v>1.1174999999999999</v>
      </c>
      <c r="I249" s="36">
        <v>1.351999999999999</v>
      </c>
      <c r="J249" s="36">
        <v>1.3482499999999999</v>
      </c>
    </row>
    <row r="250" spans="1:17" x14ac:dyDescent="0.3">
      <c r="C250" s="107"/>
      <c r="D250" s="16" t="s">
        <v>28</v>
      </c>
      <c r="E250" s="34">
        <v>0.66790000000000205</v>
      </c>
      <c r="F250" s="34">
        <v>0.47899999999999943</v>
      </c>
      <c r="G250" s="34">
        <v>0.77100000000000068</v>
      </c>
      <c r="H250" s="34">
        <v>0.65879999999999961</v>
      </c>
      <c r="I250" s="34">
        <v>1.0863000000000009</v>
      </c>
      <c r="J250" s="34">
        <v>0.5099999999999999</v>
      </c>
    </row>
    <row r="252" spans="1:17" x14ac:dyDescent="0.3">
      <c r="C252" s="59"/>
      <c r="D252" s="60"/>
      <c r="E252" s="117" t="s">
        <v>14</v>
      </c>
      <c r="F252" s="118"/>
      <c r="G252" s="117" t="s">
        <v>15</v>
      </c>
      <c r="H252" s="118"/>
      <c r="I252" s="117" t="s">
        <v>16</v>
      </c>
      <c r="J252" s="118"/>
    </row>
    <row r="253" spans="1:17" x14ac:dyDescent="0.3">
      <c r="C253" s="59"/>
      <c r="D253" s="59"/>
      <c r="E253" s="2" t="s">
        <v>48</v>
      </c>
      <c r="F253" s="2" t="s">
        <v>49</v>
      </c>
      <c r="G253" s="2" t="s">
        <v>48</v>
      </c>
      <c r="H253" s="2" t="s">
        <v>49</v>
      </c>
      <c r="I253" s="2" t="s">
        <v>48</v>
      </c>
      <c r="J253" s="2" t="s">
        <v>49</v>
      </c>
    </row>
    <row r="254" spans="1:17" ht="14.4" customHeight="1" x14ac:dyDescent="0.3">
      <c r="C254" s="108" t="s">
        <v>40</v>
      </c>
      <c r="D254" s="5" t="s">
        <v>23</v>
      </c>
      <c r="E254" s="6">
        <v>91.14439999999972</v>
      </c>
      <c r="F254" s="6">
        <v>71.400099999999952</v>
      </c>
      <c r="G254" s="6">
        <v>139.31200000000004</v>
      </c>
      <c r="H254" s="6">
        <v>64.497400000000084</v>
      </c>
      <c r="I254" s="6">
        <v>168.89599999999999</v>
      </c>
      <c r="J254" s="6">
        <v>140.24700000000004</v>
      </c>
    </row>
    <row r="255" spans="1:17" x14ac:dyDescent="0.3">
      <c r="C255" s="108"/>
      <c r="D255" s="7" t="s">
        <v>24</v>
      </c>
      <c r="E255" s="8">
        <v>70.623750000000086</v>
      </c>
      <c r="F255" s="8">
        <v>54.792249999999974</v>
      </c>
      <c r="G255" s="8">
        <v>69.533499999999762</v>
      </c>
      <c r="H255" s="8">
        <v>55.443499999999972</v>
      </c>
      <c r="I255" s="8">
        <v>84.917249999999996</v>
      </c>
      <c r="J255" s="8">
        <v>81.001250000000013</v>
      </c>
    </row>
    <row r="256" spans="1:17" x14ac:dyDescent="0.3">
      <c r="C256" s="108"/>
      <c r="D256" s="5" t="s">
        <v>26</v>
      </c>
      <c r="E256" s="9">
        <v>40.217999999999904</v>
      </c>
      <c r="F256" s="9">
        <v>34.557499999999948</v>
      </c>
      <c r="G256" s="9">
        <v>49.757999999999882</v>
      </c>
      <c r="H256" s="9">
        <v>35.914999999999978</v>
      </c>
      <c r="I256" s="9">
        <v>62.293999999999976</v>
      </c>
      <c r="J256" s="9">
        <v>57.847499999999989</v>
      </c>
    </row>
    <row r="257" spans="1:18" x14ac:dyDescent="0.3">
      <c r="C257" s="108"/>
      <c r="D257" s="7" t="s">
        <v>27</v>
      </c>
      <c r="E257" s="10">
        <v>26.263750000000048</v>
      </c>
      <c r="F257" s="10">
        <v>19.655250000000017</v>
      </c>
      <c r="G257" s="10">
        <v>29.732500000000048</v>
      </c>
      <c r="H257" s="10">
        <v>24.846500000000027</v>
      </c>
      <c r="I257" s="10">
        <v>41.944999999999986</v>
      </c>
      <c r="J257" s="10">
        <v>30.975500000000007</v>
      </c>
    </row>
    <row r="258" spans="1:18" x14ac:dyDescent="0.3">
      <c r="C258" s="108"/>
      <c r="D258" s="5" t="s">
        <v>28</v>
      </c>
      <c r="E258" s="9">
        <v>17.344700000000056</v>
      </c>
      <c r="F258" s="9">
        <v>10.773400000000002</v>
      </c>
      <c r="G258" s="9">
        <v>17.741400000000045</v>
      </c>
      <c r="H258" s="9">
        <v>15.456599999999987</v>
      </c>
      <c r="I258" s="9">
        <v>31.335000000000022</v>
      </c>
      <c r="J258" s="9">
        <v>13.940499999999998</v>
      </c>
    </row>
    <row r="259" spans="1:18" x14ac:dyDescent="0.3">
      <c r="O259" s="19"/>
    </row>
    <row r="261" spans="1:18" ht="18" x14ac:dyDescent="0.35">
      <c r="C261" s="81" t="str">
        <f>D19</f>
        <v>Tarification incitative - Coûts aidés des PEHV par typologie d'habitat avec ou sans TI (en euros par habitant)</v>
      </c>
      <c r="D261" s="81"/>
      <c r="E261" s="81"/>
      <c r="F261" s="81"/>
      <c r="G261" s="81"/>
      <c r="H261" s="81"/>
      <c r="I261" s="81"/>
      <c r="J261" s="81"/>
      <c r="K261" s="81"/>
      <c r="L261" s="81"/>
    </row>
    <row r="262" spans="1:18" x14ac:dyDescent="0.3">
      <c r="C262" s="106" t="s">
        <v>35</v>
      </c>
      <c r="D262" s="106"/>
    </row>
    <row r="263" spans="1:18" ht="14.4" customHeight="1" x14ac:dyDescent="0.3">
      <c r="C263" s="66"/>
      <c r="D263" s="60"/>
      <c r="E263" s="117" t="s">
        <v>14</v>
      </c>
      <c r="F263" s="118"/>
      <c r="G263" s="117" t="s">
        <v>15</v>
      </c>
      <c r="H263" s="118"/>
      <c r="I263" s="117" t="s">
        <v>16</v>
      </c>
      <c r="J263" s="118"/>
    </row>
    <row r="264" spans="1:18" x14ac:dyDescent="0.3">
      <c r="C264" s="59"/>
      <c r="D264" s="59"/>
      <c r="E264" s="2" t="s">
        <v>48</v>
      </c>
      <c r="F264" s="2" t="s">
        <v>49</v>
      </c>
      <c r="G264" s="2" t="s">
        <v>48</v>
      </c>
      <c r="H264" s="2" t="s">
        <v>49</v>
      </c>
      <c r="I264" s="2" t="s">
        <v>48</v>
      </c>
      <c r="J264" s="2" t="s">
        <v>49</v>
      </c>
    </row>
    <row r="265" spans="1:18" x14ac:dyDescent="0.3">
      <c r="C265" s="59"/>
      <c r="D265" s="3" t="s">
        <v>36</v>
      </c>
      <c r="E265" s="4">
        <v>152</v>
      </c>
      <c r="F265" s="4">
        <v>58</v>
      </c>
      <c r="G265" s="4">
        <v>125</v>
      </c>
      <c r="H265" s="4">
        <v>57</v>
      </c>
      <c r="I265" s="4">
        <v>52</v>
      </c>
      <c r="J265" s="4">
        <v>14</v>
      </c>
    </row>
    <row r="267" spans="1:18" x14ac:dyDescent="0.3">
      <c r="C267" s="59"/>
      <c r="D267" s="60"/>
      <c r="E267" s="59"/>
      <c r="F267" s="59"/>
      <c r="G267" s="59"/>
      <c r="H267" s="59"/>
      <c r="I267" s="59"/>
      <c r="J267" s="59"/>
    </row>
    <row r="268" spans="1:18" ht="14.4" customHeight="1" x14ac:dyDescent="0.3">
      <c r="C268" s="59"/>
      <c r="D268" s="60"/>
      <c r="E268" s="117" t="s">
        <v>14</v>
      </c>
      <c r="F268" s="118"/>
      <c r="G268" s="117" t="s">
        <v>15</v>
      </c>
      <c r="H268" s="118"/>
      <c r="I268" s="117" t="s">
        <v>16</v>
      </c>
      <c r="J268" s="118"/>
    </row>
    <row r="269" spans="1:18" x14ac:dyDescent="0.3">
      <c r="C269" s="59"/>
      <c r="D269" s="59"/>
      <c r="E269" s="2" t="s">
        <v>48</v>
      </c>
      <c r="F269" s="2" t="s">
        <v>49</v>
      </c>
      <c r="G269" s="2" t="s">
        <v>48</v>
      </c>
      <c r="H269" s="2" t="s">
        <v>49</v>
      </c>
      <c r="I269" s="2" t="s">
        <v>48</v>
      </c>
      <c r="J269" s="2" t="s">
        <v>49</v>
      </c>
    </row>
    <row r="270" spans="1:18" x14ac:dyDescent="0.3">
      <c r="C270" s="107" t="s">
        <v>39</v>
      </c>
      <c r="D270" s="16" t="s">
        <v>23</v>
      </c>
      <c r="E270" s="28">
        <v>28.548400000000022</v>
      </c>
      <c r="F270" s="28">
        <v>23.319400000000009</v>
      </c>
      <c r="G270" s="28">
        <v>28.543000000000021</v>
      </c>
      <c r="H270" s="28">
        <v>19.099000000000018</v>
      </c>
      <c r="I270" s="28">
        <v>27.401599999999991</v>
      </c>
      <c r="J270" s="28">
        <v>27.644000000000002</v>
      </c>
    </row>
    <row r="271" spans="1:18" x14ac:dyDescent="0.3">
      <c r="C271" s="107"/>
      <c r="D271" s="17" t="s">
        <v>24</v>
      </c>
      <c r="E271" s="33">
        <v>23.289999999999971</v>
      </c>
      <c r="F271" s="33">
        <v>20.073499999999989</v>
      </c>
      <c r="G271" s="33">
        <v>21.048500000000011</v>
      </c>
      <c r="H271" s="33">
        <v>17.009000000000011</v>
      </c>
      <c r="I271" s="33">
        <v>18.804499999999987</v>
      </c>
      <c r="J271" s="33">
        <v>19.353249999999999</v>
      </c>
    </row>
    <row r="272" spans="1:18" s="25" customFormat="1" ht="18" customHeight="1" x14ac:dyDescent="0.3">
      <c r="A272"/>
      <c r="C272" s="107"/>
      <c r="D272" s="31" t="s">
        <v>26</v>
      </c>
      <c r="E272" s="34">
        <v>15.133499999999961</v>
      </c>
      <c r="F272" s="34">
        <v>13.149999999999988</v>
      </c>
      <c r="G272" s="34">
        <v>15.538000000000009</v>
      </c>
      <c r="H272" s="34">
        <v>12.294999999999993</v>
      </c>
      <c r="I272" s="34">
        <v>14.050500000000017</v>
      </c>
      <c r="J272" s="34">
        <v>11.979500000000002</v>
      </c>
      <c r="K272"/>
      <c r="L272"/>
      <c r="M272"/>
      <c r="N272"/>
      <c r="O272"/>
      <c r="P272"/>
      <c r="Q272"/>
      <c r="R272"/>
    </row>
    <row r="273" spans="3:15" x14ac:dyDescent="0.3">
      <c r="C273" s="107"/>
      <c r="D273" s="17" t="s">
        <v>27</v>
      </c>
      <c r="E273" s="36">
        <v>9.5150000000000201</v>
      </c>
      <c r="F273" s="36">
        <v>9.9587500000000055</v>
      </c>
      <c r="G273" s="36">
        <v>9.4085000000000019</v>
      </c>
      <c r="H273" s="36">
        <v>7.4130000000000074</v>
      </c>
      <c r="I273" s="36">
        <v>9.0512499999999942</v>
      </c>
      <c r="J273" s="36">
        <v>10.605500000000003</v>
      </c>
    </row>
    <row r="274" spans="3:15" x14ac:dyDescent="0.3">
      <c r="C274" s="107"/>
      <c r="D274" s="16" t="s">
        <v>28</v>
      </c>
      <c r="E274" s="34">
        <v>6.3817000000000164</v>
      </c>
      <c r="F274" s="34">
        <v>6.1541000000000086</v>
      </c>
      <c r="G274" s="34">
        <v>6.6248000000000156</v>
      </c>
      <c r="H274" s="34">
        <v>4.747600000000002</v>
      </c>
      <c r="I274" s="34">
        <v>7.2420000000000035</v>
      </c>
      <c r="J274" s="34">
        <v>9.535499999999999</v>
      </c>
    </row>
    <row r="276" spans="3:15" x14ac:dyDescent="0.3">
      <c r="C276" s="59"/>
      <c r="D276" s="60"/>
      <c r="E276" s="117" t="s">
        <v>14</v>
      </c>
      <c r="F276" s="118"/>
      <c r="G276" s="117" t="s">
        <v>15</v>
      </c>
      <c r="H276" s="118"/>
      <c r="I276" s="117" t="s">
        <v>16</v>
      </c>
      <c r="J276" s="118"/>
    </row>
    <row r="277" spans="3:15" x14ac:dyDescent="0.3">
      <c r="C277" s="59"/>
      <c r="D277" s="59"/>
      <c r="E277" s="2" t="s">
        <v>48</v>
      </c>
      <c r="F277" s="2" t="s">
        <v>49</v>
      </c>
      <c r="G277" s="2" t="s">
        <v>48</v>
      </c>
      <c r="H277" s="2" t="s">
        <v>49</v>
      </c>
      <c r="I277" s="2" t="s">
        <v>48</v>
      </c>
      <c r="J277" s="2" t="s">
        <v>49</v>
      </c>
    </row>
    <row r="278" spans="3:15" ht="14.4" customHeight="1" x14ac:dyDescent="0.3">
      <c r="C278" s="108" t="s">
        <v>40</v>
      </c>
      <c r="D278" s="5" t="s">
        <v>23</v>
      </c>
      <c r="E278" s="6">
        <v>452.43269999999927</v>
      </c>
      <c r="F278" s="6">
        <v>380.82149999999956</v>
      </c>
      <c r="G278" s="6">
        <v>549.08460000000059</v>
      </c>
      <c r="H278" s="6">
        <v>357.99100000000038</v>
      </c>
      <c r="I278" s="6">
        <v>521.57779999999934</v>
      </c>
      <c r="J278" s="6">
        <v>515.22500000000014</v>
      </c>
    </row>
    <row r="279" spans="3:15" x14ac:dyDescent="0.3">
      <c r="C279" s="108"/>
      <c r="D279" s="7" t="s">
        <v>24</v>
      </c>
      <c r="E279" s="8">
        <v>394.87350000000106</v>
      </c>
      <c r="F279" s="8">
        <v>326.62850000000009</v>
      </c>
      <c r="G279" s="8">
        <v>398.839</v>
      </c>
      <c r="H279" s="8">
        <v>270.20700000000022</v>
      </c>
      <c r="I279" s="8">
        <v>367.14625000000007</v>
      </c>
      <c r="J279" s="8">
        <v>324.85575000000006</v>
      </c>
    </row>
    <row r="280" spans="3:15" x14ac:dyDescent="0.3">
      <c r="C280" s="108"/>
      <c r="D280" s="5" t="s">
        <v>26</v>
      </c>
      <c r="E280" s="9">
        <v>290.24799999999965</v>
      </c>
      <c r="F280" s="9">
        <v>221.73699999999974</v>
      </c>
      <c r="G280" s="9">
        <v>292.07299999999987</v>
      </c>
      <c r="H280" s="9">
        <v>200.46399999999997</v>
      </c>
      <c r="I280" s="9">
        <v>263.97199999999981</v>
      </c>
      <c r="J280" s="9">
        <v>205.62950000000001</v>
      </c>
    </row>
    <row r="281" spans="3:15" x14ac:dyDescent="0.3">
      <c r="C281" s="108"/>
      <c r="D281" s="7" t="s">
        <v>27</v>
      </c>
      <c r="E281" s="10">
        <v>206.1875</v>
      </c>
      <c r="F281" s="10">
        <v>150.08100000000007</v>
      </c>
      <c r="G281" s="10">
        <v>189.30099999999973</v>
      </c>
      <c r="H281" s="10">
        <v>132.6099999999999</v>
      </c>
      <c r="I281" s="10">
        <v>201.08549999999988</v>
      </c>
      <c r="J281" s="10">
        <v>171.33500000000001</v>
      </c>
      <c r="O281" s="19"/>
    </row>
    <row r="282" spans="3:15" x14ac:dyDescent="0.3">
      <c r="C282" s="108"/>
      <c r="D282" s="5" t="s">
        <v>28</v>
      </c>
      <c r="E282" s="9">
        <v>137.84769999999978</v>
      </c>
      <c r="F282" s="9">
        <v>107.83479999999992</v>
      </c>
      <c r="G282" s="9">
        <v>122.29880000000011</v>
      </c>
      <c r="H282" s="9">
        <v>82.304600000000022</v>
      </c>
      <c r="I282" s="9">
        <v>129.28660000000011</v>
      </c>
      <c r="J282" s="9">
        <v>132.13999999999993</v>
      </c>
      <c r="O282" s="19"/>
    </row>
    <row r="283" spans="3:15" x14ac:dyDescent="0.3">
      <c r="O283" s="19"/>
    </row>
    <row r="285" spans="3:15" ht="18" x14ac:dyDescent="0.35">
      <c r="C285" s="81" t="str">
        <f>D20</f>
        <v>Tarification incitative - Coûts aidés des déchets en déchèterie par typologie d'habitat avec ou sans TI (en euros par habitant)</v>
      </c>
      <c r="D285" s="81"/>
      <c r="E285" s="81"/>
      <c r="F285" s="81"/>
      <c r="G285" s="81"/>
      <c r="H285" s="81"/>
      <c r="I285" s="81"/>
      <c r="J285" s="81"/>
      <c r="K285" s="81"/>
      <c r="L285" s="81"/>
    </row>
    <row r="286" spans="3:15" x14ac:dyDescent="0.3">
      <c r="C286" s="106" t="s">
        <v>35</v>
      </c>
      <c r="D286" s="106"/>
    </row>
    <row r="287" spans="3:15" ht="14.4" customHeight="1" x14ac:dyDescent="0.3">
      <c r="C287" s="66"/>
      <c r="D287" s="60"/>
      <c r="E287" s="117" t="s">
        <v>14</v>
      </c>
      <c r="F287" s="118"/>
      <c r="G287" s="117" t="s">
        <v>15</v>
      </c>
      <c r="H287" s="118"/>
      <c r="I287" s="117" t="s">
        <v>16</v>
      </c>
      <c r="J287" s="118"/>
    </row>
    <row r="288" spans="3:15" x14ac:dyDescent="0.3">
      <c r="C288" s="59"/>
      <c r="D288" s="59"/>
      <c r="E288" s="2" t="s">
        <v>48</v>
      </c>
      <c r="F288" s="2" t="s">
        <v>49</v>
      </c>
      <c r="G288" s="2" t="s">
        <v>48</v>
      </c>
      <c r="H288" s="2" t="s">
        <v>49</v>
      </c>
      <c r="I288" s="2" t="s">
        <v>48</v>
      </c>
      <c r="J288" s="2" t="s">
        <v>49</v>
      </c>
    </row>
    <row r="289" spans="1:18" x14ac:dyDescent="0.3">
      <c r="C289" s="59"/>
      <c r="D289" s="3" t="s">
        <v>36</v>
      </c>
      <c r="E289" s="4">
        <v>152</v>
      </c>
      <c r="F289" s="4">
        <v>58</v>
      </c>
      <c r="G289" s="4">
        <v>125</v>
      </c>
      <c r="H289" s="4">
        <v>57</v>
      </c>
      <c r="I289" s="4">
        <v>52</v>
      </c>
      <c r="J289" s="4">
        <v>14</v>
      </c>
    </row>
    <row r="291" spans="1:18" x14ac:dyDescent="0.3">
      <c r="C291" s="59"/>
      <c r="D291" s="60"/>
      <c r="E291" s="59"/>
      <c r="F291" s="59"/>
      <c r="G291" s="59"/>
      <c r="H291" s="59"/>
      <c r="I291" s="59"/>
      <c r="J291" s="59"/>
    </row>
    <row r="292" spans="1:18" ht="14.4" customHeight="1" x14ac:dyDescent="0.3">
      <c r="C292" s="59"/>
      <c r="D292" s="60"/>
      <c r="E292" s="117" t="s">
        <v>14</v>
      </c>
      <c r="F292" s="118"/>
      <c r="G292" s="117" t="s">
        <v>15</v>
      </c>
      <c r="H292" s="118"/>
      <c r="I292" s="117" t="s">
        <v>16</v>
      </c>
      <c r="J292" s="118"/>
    </row>
    <row r="293" spans="1:18" x14ac:dyDescent="0.3">
      <c r="C293" s="59"/>
      <c r="D293" s="59"/>
      <c r="E293" s="2" t="s">
        <v>48</v>
      </c>
      <c r="F293" s="2" t="s">
        <v>49</v>
      </c>
      <c r="G293" s="2" t="s">
        <v>48</v>
      </c>
      <c r="H293" s="2" t="s">
        <v>49</v>
      </c>
      <c r="I293" s="2" t="s">
        <v>48</v>
      </c>
      <c r="J293" s="2" t="s">
        <v>49</v>
      </c>
    </row>
    <row r="294" spans="1:18" x14ac:dyDescent="0.3">
      <c r="C294" s="107" t="s">
        <v>39</v>
      </c>
      <c r="D294" s="16" t="s">
        <v>23</v>
      </c>
      <c r="E294" s="28">
        <v>53.897600000000061</v>
      </c>
      <c r="F294" s="28">
        <v>45.782200000000053</v>
      </c>
      <c r="G294" s="28">
        <v>53.340600000000173</v>
      </c>
      <c r="H294" s="28">
        <v>48.906800000000047</v>
      </c>
      <c r="I294" s="28">
        <v>51.765600000000035</v>
      </c>
      <c r="J294" s="28">
        <v>56.019500000000001</v>
      </c>
    </row>
    <row r="295" spans="1:18" x14ac:dyDescent="0.3">
      <c r="C295" s="107"/>
      <c r="D295" s="17" t="s">
        <v>24</v>
      </c>
      <c r="E295" s="33">
        <v>45.484250000000159</v>
      </c>
      <c r="F295" s="33">
        <v>40.400999999999996</v>
      </c>
      <c r="G295" s="33">
        <v>43.621000000000073</v>
      </c>
      <c r="H295" s="33">
        <v>43.430499999999981</v>
      </c>
      <c r="I295" s="33">
        <v>39.7455</v>
      </c>
      <c r="J295" s="33">
        <v>45.283999999999999</v>
      </c>
    </row>
    <row r="296" spans="1:18" s="25" customFormat="1" ht="18" customHeight="1" x14ac:dyDescent="0.3">
      <c r="A296"/>
      <c r="C296" s="107"/>
      <c r="D296" s="31" t="s">
        <v>26</v>
      </c>
      <c r="E296" s="34">
        <v>37.203499999999934</v>
      </c>
      <c r="F296" s="34">
        <v>35.829999999999977</v>
      </c>
      <c r="G296" s="34">
        <v>35.585000000000029</v>
      </c>
      <c r="H296" s="34">
        <v>35.510999999999981</v>
      </c>
      <c r="I296" s="34">
        <v>33.767000000000039</v>
      </c>
      <c r="J296" s="34">
        <v>34.6325</v>
      </c>
      <c r="K296"/>
      <c r="L296"/>
      <c r="M296"/>
      <c r="N296"/>
      <c r="O296"/>
      <c r="P296"/>
      <c r="Q296"/>
      <c r="R296"/>
    </row>
    <row r="297" spans="1:18" x14ac:dyDescent="0.3">
      <c r="C297" s="107"/>
      <c r="D297" s="17" t="s">
        <v>27</v>
      </c>
      <c r="E297" s="36">
        <v>32.088000000000029</v>
      </c>
      <c r="F297" s="36">
        <v>31.12750000000004</v>
      </c>
      <c r="G297" s="36">
        <v>29.224000000000057</v>
      </c>
      <c r="H297" s="36">
        <v>29.477000000000025</v>
      </c>
      <c r="I297" s="36">
        <v>25.857999999999969</v>
      </c>
      <c r="J297" s="36">
        <v>29.797999999999998</v>
      </c>
    </row>
    <row r="298" spans="1:18" x14ac:dyDescent="0.3">
      <c r="C298" s="107"/>
      <c r="D298" s="16" t="s">
        <v>28</v>
      </c>
      <c r="E298" s="34">
        <v>27.548800000000018</v>
      </c>
      <c r="F298" s="34">
        <v>24.826800000000027</v>
      </c>
      <c r="G298" s="34">
        <v>23.343199999999953</v>
      </c>
      <c r="H298" s="34">
        <v>25.9468</v>
      </c>
      <c r="I298" s="34">
        <v>23.892000000000031</v>
      </c>
      <c r="J298" s="34">
        <v>20.088500000000003</v>
      </c>
    </row>
    <row r="300" spans="1:18" x14ac:dyDescent="0.3">
      <c r="C300" s="59"/>
      <c r="D300" s="60"/>
      <c r="E300" s="117" t="s">
        <v>14</v>
      </c>
      <c r="F300" s="118"/>
      <c r="G300" s="117" t="s">
        <v>15</v>
      </c>
      <c r="H300" s="118"/>
      <c r="I300" s="117" t="s">
        <v>16</v>
      </c>
      <c r="J300" s="118"/>
    </row>
    <row r="301" spans="1:18" x14ac:dyDescent="0.3">
      <c r="C301" s="59"/>
      <c r="D301" s="59"/>
      <c r="E301" s="2" t="s">
        <v>48</v>
      </c>
      <c r="F301" s="2" t="s">
        <v>49</v>
      </c>
      <c r="G301" s="2" t="s">
        <v>48</v>
      </c>
      <c r="H301" s="2" t="s">
        <v>49</v>
      </c>
      <c r="I301" s="2" t="s">
        <v>48</v>
      </c>
      <c r="J301" s="2" t="s">
        <v>49</v>
      </c>
    </row>
    <row r="302" spans="1:18" ht="14.4" customHeight="1" x14ac:dyDescent="0.3">
      <c r="C302" s="108" t="s">
        <v>40</v>
      </c>
      <c r="D302" s="5" t="s">
        <v>23</v>
      </c>
      <c r="E302" s="6">
        <v>222.6346000000004</v>
      </c>
      <c r="F302" s="6">
        <v>202.76889999999975</v>
      </c>
      <c r="G302" s="6">
        <v>223.70839999999973</v>
      </c>
      <c r="H302" s="6">
        <v>235.73179999999999</v>
      </c>
      <c r="I302" s="6">
        <v>211.73689999999991</v>
      </c>
      <c r="J302" s="6">
        <v>253.6585</v>
      </c>
    </row>
    <row r="303" spans="1:18" x14ac:dyDescent="0.3">
      <c r="C303" s="108"/>
      <c r="D303" s="7" t="s">
        <v>24</v>
      </c>
      <c r="E303" s="8">
        <v>189.83574999999936</v>
      </c>
      <c r="F303" s="8">
        <v>176.94874999999976</v>
      </c>
      <c r="G303" s="8">
        <v>193.20349999999971</v>
      </c>
      <c r="H303" s="8">
        <v>193.25400000000013</v>
      </c>
      <c r="I303" s="8">
        <v>197.21774999999985</v>
      </c>
      <c r="J303" s="8">
        <v>219.10800000000003</v>
      </c>
    </row>
    <row r="304" spans="1:18" x14ac:dyDescent="0.3">
      <c r="C304" s="108"/>
      <c r="D304" s="5" t="s">
        <v>26</v>
      </c>
      <c r="E304" s="9">
        <v>158.71549999999959</v>
      </c>
      <c r="F304" s="9">
        <v>157.28399999999985</v>
      </c>
      <c r="G304" s="9">
        <v>161.87600000000018</v>
      </c>
      <c r="H304" s="9">
        <v>166.10800000000012</v>
      </c>
      <c r="I304" s="9">
        <v>167.21799999999996</v>
      </c>
      <c r="J304" s="9">
        <v>177.58550000000008</v>
      </c>
    </row>
    <row r="305" spans="1:18" x14ac:dyDescent="0.3">
      <c r="C305" s="108"/>
      <c r="D305" s="7" t="s">
        <v>27</v>
      </c>
      <c r="E305" s="10">
        <v>132.5475000000003</v>
      </c>
      <c r="F305" s="10">
        <v>134.39825000000013</v>
      </c>
      <c r="G305" s="10">
        <v>136.26499999999976</v>
      </c>
      <c r="H305" s="10">
        <v>138.67100000000011</v>
      </c>
      <c r="I305" s="10">
        <v>136.11300000000008</v>
      </c>
      <c r="J305" s="10">
        <v>158.69425000000001</v>
      </c>
    </row>
    <row r="306" spans="1:18" x14ac:dyDescent="0.3">
      <c r="C306" s="108"/>
      <c r="D306" s="5" t="s">
        <v>28</v>
      </c>
      <c r="E306" s="9">
        <v>113.69900000000018</v>
      </c>
      <c r="F306" s="9">
        <v>105.70480000000013</v>
      </c>
      <c r="G306" s="9">
        <v>107.58300000000011</v>
      </c>
      <c r="H306" s="9">
        <v>122.54259999999998</v>
      </c>
      <c r="I306" s="9">
        <v>126.93009999999987</v>
      </c>
      <c r="J306" s="9">
        <v>120.96550000000001</v>
      </c>
      <c r="O306" s="19"/>
    </row>
    <row r="307" spans="1:18" x14ac:dyDescent="0.3">
      <c r="O307" s="19"/>
    </row>
    <row r="309" spans="1:18" ht="18" x14ac:dyDescent="0.35">
      <c r="C309" s="81" t="str">
        <f>D21</f>
        <v>Tarification incitative - Charges de collecte par fréquence de collecte avec ou sans TI (en euros par habitant)</v>
      </c>
      <c r="D309" s="81"/>
      <c r="E309" s="81"/>
      <c r="F309" s="81"/>
      <c r="G309" s="81"/>
      <c r="H309" s="81"/>
      <c r="I309" s="81"/>
      <c r="J309" s="81"/>
      <c r="K309" s="81"/>
      <c r="L309" s="81"/>
    </row>
    <row r="310" spans="1:18" x14ac:dyDescent="0.3">
      <c r="C310" s="106" t="s">
        <v>35</v>
      </c>
      <c r="D310" s="106"/>
    </row>
    <row r="311" spans="1:18" ht="14.4" customHeight="1" x14ac:dyDescent="0.3">
      <c r="C311" s="66"/>
      <c r="D311" s="60"/>
      <c r="E311" s="117" t="s">
        <v>151</v>
      </c>
      <c r="F311" s="118"/>
      <c r="G311" s="117" t="s">
        <v>152</v>
      </c>
      <c r="H311" s="118"/>
    </row>
    <row r="312" spans="1:18" x14ac:dyDescent="0.3">
      <c r="C312" s="59"/>
      <c r="D312" s="59"/>
      <c r="E312" s="2" t="s">
        <v>48</v>
      </c>
      <c r="F312" s="2" t="s">
        <v>49</v>
      </c>
      <c r="G312" s="2" t="s">
        <v>48</v>
      </c>
      <c r="H312" s="2" t="s">
        <v>49</v>
      </c>
    </row>
    <row r="313" spans="1:18" x14ac:dyDescent="0.3">
      <c r="C313" s="59"/>
      <c r="D313" s="3" t="s">
        <v>36</v>
      </c>
      <c r="E313" s="4">
        <v>48</v>
      </c>
      <c r="F313" s="4">
        <v>71</v>
      </c>
      <c r="G313" s="4">
        <v>167</v>
      </c>
      <c r="H313" s="4">
        <v>39</v>
      </c>
    </row>
    <row r="315" spans="1:18" x14ac:dyDescent="0.3">
      <c r="C315" s="59"/>
      <c r="D315" s="60"/>
      <c r="E315" s="59"/>
      <c r="F315" s="59"/>
      <c r="G315" s="59"/>
      <c r="H315" s="59"/>
    </row>
    <row r="316" spans="1:18" ht="14.4" customHeight="1" x14ac:dyDescent="0.3">
      <c r="C316" s="59"/>
      <c r="D316" s="60"/>
      <c r="E316" s="117" t="s">
        <v>151</v>
      </c>
      <c r="F316" s="118"/>
      <c r="G316" s="117" t="s">
        <v>152</v>
      </c>
      <c r="H316" s="118"/>
    </row>
    <row r="317" spans="1:18" x14ac:dyDescent="0.3">
      <c r="C317" s="59"/>
      <c r="D317" s="59"/>
      <c r="E317" s="2" t="s">
        <v>48</v>
      </c>
      <c r="F317" s="2" t="s">
        <v>49</v>
      </c>
      <c r="G317" s="2" t="s">
        <v>48</v>
      </c>
      <c r="H317" s="2" t="s">
        <v>49</v>
      </c>
    </row>
    <row r="318" spans="1:18" x14ac:dyDescent="0.3">
      <c r="C318" s="107" t="s">
        <v>39</v>
      </c>
      <c r="D318" s="16" t="s">
        <v>23</v>
      </c>
      <c r="E318" s="28">
        <v>28.172700000000006</v>
      </c>
      <c r="F318" s="28">
        <v>23.586000000000009</v>
      </c>
      <c r="G318" s="28">
        <v>37.442</v>
      </c>
      <c r="H318" s="28">
        <v>25.071999999999999</v>
      </c>
    </row>
    <row r="319" spans="1:18" x14ac:dyDescent="0.3">
      <c r="C319" s="107"/>
      <c r="D319" s="17" t="s">
        <v>24</v>
      </c>
      <c r="E319" s="33">
        <v>22.985500000000002</v>
      </c>
      <c r="F319" s="33">
        <v>19.013999999999978</v>
      </c>
      <c r="G319" s="33">
        <v>31.091999999999981</v>
      </c>
      <c r="H319" s="33">
        <v>23.145999999999987</v>
      </c>
    </row>
    <row r="320" spans="1:18" s="25" customFormat="1" ht="18" customHeight="1" x14ac:dyDescent="0.3">
      <c r="A320"/>
      <c r="C320" s="107"/>
      <c r="D320" s="31" t="s">
        <v>26</v>
      </c>
      <c r="E320" s="34">
        <v>19.570000000000018</v>
      </c>
      <c r="F320" s="34">
        <v>15.27999999999998</v>
      </c>
      <c r="G320" s="34">
        <v>25.822000000000035</v>
      </c>
      <c r="H320" s="34">
        <v>20.510999999999992</v>
      </c>
      <c r="I320"/>
      <c r="J320"/>
      <c r="K320"/>
      <c r="L320"/>
      <c r="M320"/>
      <c r="N320"/>
      <c r="O320"/>
      <c r="P320"/>
      <c r="Q320"/>
      <c r="R320"/>
    </row>
    <row r="321" spans="1:18" x14ac:dyDescent="0.3">
      <c r="C321" s="107"/>
      <c r="D321" s="17" t="s">
        <v>27</v>
      </c>
      <c r="E321" s="36">
        <v>15.754249999999992</v>
      </c>
      <c r="F321" s="36">
        <v>12.12099999999999</v>
      </c>
      <c r="G321" s="36">
        <v>21.248999999999924</v>
      </c>
      <c r="H321" s="36">
        <v>15.937000000000008</v>
      </c>
    </row>
    <row r="322" spans="1:18" x14ac:dyDescent="0.3">
      <c r="C322" s="107"/>
      <c r="D322" s="16" t="s">
        <v>28</v>
      </c>
      <c r="E322" s="34">
        <v>13.090100000000005</v>
      </c>
      <c r="F322" s="34">
        <v>10.970599999999994</v>
      </c>
      <c r="G322" s="34">
        <v>17.47740000000006</v>
      </c>
      <c r="H322" s="34">
        <v>12.684000000000012</v>
      </c>
    </row>
    <row r="325" spans="1:18" ht="18" x14ac:dyDescent="0.35">
      <c r="C325" s="81" t="str">
        <f>D22</f>
        <v>Tarification incitative - Coûts aidés des OMR par fréquence de collecte avec ou sans TI (en euros par habitant)</v>
      </c>
      <c r="D325" s="81"/>
      <c r="E325" s="81"/>
      <c r="F325" s="81"/>
      <c r="G325" s="81"/>
      <c r="H325" s="81"/>
      <c r="I325" s="81"/>
      <c r="J325" s="81"/>
      <c r="K325" s="81"/>
      <c r="L325" s="81"/>
    </row>
    <row r="326" spans="1:18" x14ac:dyDescent="0.3">
      <c r="C326" s="106" t="s">
        <v>35</v>
      </c>
      <c r="D326" s="106"/>
    </row>
    <row r="327" spans="1:18" ht="14.4" customHeight="1" x14ac:dyDescent="0.3">
      <c r="C327" s="66"/>
      <c r="D327" s="60"/>
      <c r="E327" s="117" t="s">
        <v>151</v>
      </c>
      <c r="F327" s="118"/>
      <c r="G327" s="117" t="s">
        <v>152</v>
      </c>
      <c r="H327" s="118"/>
    </row>
    <row r="328" spans="1:18" x14ac:dyDescent="0.3">
      <c r="C328" s="59"/>
      <c r="D328" s="59"/>
      <c r="E328" s="2" t="s">
        <v>48</v>
      </c>
      <c r="F328" s="2" t="s">
        <v>49</v>
      </c>
      <c r="G328" s="2" t="s">
        <v>48</v>
      </c>
      <c r="H328" s="2" t="s">
        <v>49</v>
      </c>
    </row>
    <row r="329" spans="1:18" x14ac:dyDescent="0.3">
      <c r="C329" s="59"/>
      <c r="D329" s="3" t="s">
        <v>36</v>
      </c>
      <c r="E329" s="4">
        <v>48</v>
      </c>
      <c r="F329" s="4">
        <v>71</v>
      </c>
      <c r="G329" s="4">
        <v>168</v>
      </c>
      <c r="H329" s="4">
        <v>41</v>
      </c>
    </row>
    <row r="331" spans="1:18" x14ac:dyDescent="0.3">
      <c r="C331" s="59"/>
      <c r="D331" s="60"/>
      <c r="E331" s="59"/>
      <c r="F331" s="59"/>
      <c r="G331" s="59"/>
      <c r="H331" s="59"/>
    </row>
    <row r="332" spans="1:18" ht="14.4" customHeight="1" x14ac:dyDescent="0.3">
      <c r="C332" s="59"/>
      <c r="D332" s="60"/>
      <c r="E332" s="117" t="s">
        <v>151</v>
      </c>
      <c r="F332" s="118"/>
      <c r="G332" s="117" t="s">
        <v>152</v>
      </c>
      <c r="H332" s="118"/>
    </row>
    <row r="333" spans="1:18" x14ac:dyDescent="0.3">
      <c r="C333" s="59"/>
      <c r="D333" s="59"/>
      <c r="E333" s="2" t="s">
        <v>48</v>
      </c>
      <c r="F333" s="2" t="s">
        <v>49</v>
      </c>
      <c r="G333" s="2" t="s">
        <v>48</v>
      </c>
      <c r="H333" s="2" t="s">
        <v>49</v>
      </c>
    </row>
    <row r="334" spans="1:18" x14ac:dyDescent="0.3">
      <c r="C334" s="107" t="s">
        <v>39</v>
      </c>
      <c r="D334" s="16" t="s">
        <v>23</v>
      </c>
      <c r="E334" s="28">
        <v>64.186299999999989</v>
      </c>
      <c r="F334" s="28">
        <v>56.027599999999929</v>
      </c>
      <c r="G334" s="28">
        <v>86.303799999999796</v>
      </c>
      <c r="H334" s="28">
        <v>57.820799999999977</v>
      </c>
    </row>
    <row r="335" spans="1:18" x14ac:dyDescent="0.3">
      <c r="C335" s="107"/>
      <c r="D335" s="17" t="s">
        <v>24</v>
      </c>
      <c r="E335" s="33">
        <v>54.454000000000008</v>
      </c>
      <c r="F335" s="33">
        <v>44.864000000000019</v>
      </c>
      <c r="G335" s="33">
        <v>70.738999999999734</v>
      </c>
      <c r="H335" s="33">
        <v>53.41200000000002</v>
      </c>
    </row>
    <row r="336" spans="1:18" s="25" customFormat="1" ht="18" customHeight="1" x14ac:dyDescent="0.3">
      <c r="A336"/>
      <c r="C336" s="107"/>
      <c r="D336" s="31" t="s">
        <v>26</v>
      </c>
      <c r="E336" s="34">
        <v>48.648499999999984</v>
      </c>
      <c r="F336" s="34">
        <v>38.902999999999956</v>
      </c>
      <c r="G336" s="34">
        <v>60.234000000000208</v>
      </c>
      <c r="H336" s="34">
        <v>46.755000000000052</v>
      </c>
      <c r="I336"/>
      <c r="J336"/>
      <c r="K336"/>
      <c r="L336"/>
      <c r="M336"/>
      <c r="N336"/>
      <c r="O336"/>
      <c r="P336"/>
      <c r="Q336"/>
      <c r="R336"/>
    </row>
    <row r="337" spans="1:18" x14ac:dyDescent="0.3">
      <c r="C337" s="107"/>
      <c r="D337" s="17" t="s">
        <v>27</v>
      </c>
      <c r="E337" s="36">
        <v>43.382250000000056</v>
      </c>
      <c r="F337" s="36">
        <v>34.390000000000022</v>
      </c>
      <c r="G337" s="36">
        <v>51.002999999999915</v>
      </c>
      <c r="H337" s="36">
        <v>34.213999999999963</v>
      </c>
    </row>
    <row r="338" spans="1:18" x14ac:dyDescent="0.3">
      <c r="C338" s="107"/>
      <c r="D338" s="16" t="s">
        <v>28</v>
      </c>
      <c r="E338" s="34">
        <v>35.549299999999967</v>
      </c>
      <c r="F338" s="34">
        <v>30.976799999999962</v>
      </c>
      <c r="G338" s="34">
        <v>44.690099999999859</v>
      </c>
      <c r="H338" s="34">
        <v>28.285600000000009</v>
      </c>
    </row>
    <row r="341" spans="1:18" ht="18" x14ac:dyDescent="0.35">
      <c r="C341" s="81" t="str">
        <f>D23</f>
        <v>Tarification incitative - Coûts aidés des OMR par typologie d'habitat selon le type de facturation(en euros par habitant)</v>
      </c>
      <c r="D341" s="81"/>
      <c r="E341" s="81"/>
      <c r="F341" s="81"/>
      <c r="G341" s="81"/>
      <c r="H341" s="81"/>
      <c r="I341" s="81"/>
      <c r="J341" s="81"/>
      <c r="K341" s="81"/>
      <c r="L341" s="81"/>
    </row>
    <row r="342" spans="1:18" x14ac:dyDescent="0.3">
      <c r="C342" s="106" t="s">
        <v>35</v>
      </c>
      <c r="D342" s="106"/>
    </row>
    <row r="343" spans="1:18" ht="14.4" customHeight="1" x14ac:dyDescent="0.3">
      <c r="C343" s="66"/>
      <c r="D343" s="60"/>
      <c r="E343" s="117" t="s">
        <v>14</v>
      </c>
      <c r="F343" s="118"/>
      <c r="G343" s="117" t="s">
        <v>15</v>
      </c>
      <c r="H343" s="118"/>
      <c r="I343" s="117" t="s">
        <v>16</v>
      </c>
      <c r="J343" s="118"/>
    </row>
    <row r="344" spans="1:18" x14ac:dyDescent="0.3">
      <c r="C344" s="59"/>
      <c r="D344" s="59"/>
      <c r="E344" s="2" t="s">
        <v>149</v>
      </c>
      <c r="F344" s="2" t="s">
        <v>150</v>
      </c>
      <c r="G344" s="2" t="s">
        <v>149</v>
      </c>
      <c r="H344" s="2" t="s">
        <v>150</v>
      </c>
      <c r="I344" s="2" t="s">
        <v>149</v>
      </c>
      <c r="J344" s="2" t="s">
        <v>150</v>
      </c>
    </row>
    <row r="345" spans="1:18" x14ac:dyDescent="0.3">
      <c r="C345" s="59"/>
      <c r="D345" s="3" t="s">
        <v>36</v>
      </c>
      <c r="E345" s="4">
        <v>47</v>
      </c>
      <c r="F345" s="4">
        <v>11</v>
      </c>
      <c r="G345" s="4">
        <v>50</v>
      </c>
      <c r="H345" s="4">
        <v>7</v>
      </c>
      <c r="I345" s="4">
        <v>9</v>
      </c>
      <c r="J345" s="4">
        <v>5</v>
      </c>
    </row>
    <row r="347" spans="1:18" x14ac:dyDescent="0.3">
      <c r="C347" s="59"/>
      <c r="D347" s="60"/>
      <c r="E347" s="59"/>
      <c r="F347" s="59"/>
      <c r="G347" s="59"/>
      <c r="H347" s="59"/>
      <c r="I347" s="59"/>
      <c r="J347" s="59"/>
    </row>
    <row r="348" spans="1:18" ht="14.4" customHeight="1" x14ac:dyDescent="0.3">
      <c r="C348" s="59"/>
      <c r="D348" s="60"/>
      <c r="E348" s="117" t="s">
        <v>14</v>
      </c>
      <c r="F348" s="118"/>
      <c r="G348" s="117" t="s">
        <v>15</v>
      </c>
      <c r="H348" s="118"/>
      <c r="I348" s="117" t="s">
        <v>16</v>
      </c>
      <c r="J348" s="118"/>
    </row>
    <row r="349" spans="1:18" x14ac:dyDescent="0.3">
      <c r="C349" s="59"/>
      <c r="D349" s="59"/>
      <c r="E349" s="2" t="s">
        <v>149</v>
      </c>
      <c r="F349" s="2" t="s">
        <v>150</v>
      </c>
      <c r="G349" s="2" t="s">
        <v>149</v>
      </c>
      <c r="H349" s="2" t="s">
        <v>150</v>
      </c>
      <c r="I349" s="2" t="s">
        <v>149</v>
      </c>
      <c r="J349" s="2" t="s">
        <v>150</v>
      </c>
    </row>
    <row r="350" spans="1:18" x14ac:dyDescent="0.3">
      <c r="C350" s="107" t="s">
        <v>39</v>
      </c>
      <c r="D350" s="16" t="s">
        <v>23</v>
      </c>
      <c r="E350" s="28">
        <v>53.91939999999996</v>
      </c>
      <c r="F350" s="28">
        <v>60.23919999999999</v>
      </c>
      <c r="G350" s="28">
        <v>55.782400000000031</v>
      </c>
      <c r="H350" s="28"/>
      <c r="I350" s="28">
        <v>51.923999999999992</v>
      </c>
      <c r="J350" s="28"/>
    </row>
    <row r="351" spans="1:18" x14ac:dyDescent="0.3">
      <c r="C351" s="107"/>
      <c r="D351" s="17" t="s">
        <v>24</v>
      </c>
      <c r="E351" s="33">
        <v>45.715999999999951</v>
      </c>
      <c r="F351" s="33">
        <v>57.821000000000019</v>
      </c>
      <c r="G351" s="33">
        <v>48.157499999999992</v>
      </c>
      <c r="H351" s="33">
        <v>59.558</v>
      </c>
      <c r="I351" s="33">
        <v>48.668499999999995</v>
      </c>
      <c r="J351" s="33">
        <v>78.743499999999997</v>
      </c>
    </row>
    <row r="352" spans="1:18" s="25" customFormat="1" ht="18" customHeight="1" x14ac:dyDescent="0.3">
      <c r="A352"/>
      <c r="C352" s="107"/>
      <c r="D352" s="31" t="s">
        <v>26</v>
      </c>
      <c r="E352" s="34">
        <v>39.061999999999962</v>
      </c>
      <c r="F352" s="34">
        <v>52.840000000000025</v>
      </c>
      <c r="G352" s="34">
        <v>38.200499999999977</v>
      </c>
      <c r="H352" s="34">
        <v>56.074000000000005</v>
      </c>
      <c r="I352" s="34">
        <v>36.788999999999994</v>
      </c>
      <c r="J352" s="34">
        <v>52.722000000000001</v>
      </c>
      <c r="K352"/>
      <c r="L352"/>
      <c r="M352"/>
      <c r="N352"/>
      <c r="O352"/>
      <c r="P352"/>
      <c r="Q352"/>
      <c r="R352"/>
    </row>
    <row r="353" spans="3:10" x14ac:dyDescent="0.3">
      <c r="C353" s="107"/>
      <c r="D353" s="17" t="s">
        <v>27</v>
      </c>
      <c r="E353" s="36">
        <v>34.347999999999978</v>
      </c>
      <c r="F353" s="36">
        <v>43.884000000000007</v>
      </c>
      <c r="G353" s="36">
        <v>32.393499999999975</v>
      </c>
      <c r="H353" s="36">
        <v>43.42199999999999</v>
      </c>
      <c r="I353" s="36">
        <v>34.227000000000004</v>
      </c>
      <c r="J353" s="36">
        <v>43.459999999999994</v>
      </c>
    </row>
    <row r="354" spans="3:10" x14ac:dyDescent="0.3">
      <c r="C354" s="107"/>
      <c r="D354" s="16" t="s">
        <v>28</v>
      </c>
      <c r="E354" s="34">
        <v>31.785599999999988</v>
      </c>
      <c r="F354" s="34">
        <v>32.753800000000005</v>
      </c>
      <c r="G354" s="34">
        <v>27.682900000000014</v>
      </c>
      <c r="H354" s="34"/>
      <c r="I354" s="34">
        <v>27.287000000000003</v>
      </c>
      <c r="J354" s="34"/>
    </row>
  </sheetData>
  <sheetProtection sheet="1" formatCells="0" formatColumns="0" insertColumns="0" insertRows="0" insertHyperlinks="0" deleteColumns="0" deleteRows="0" sort="0" autoFilter="0" pivotTables="0"/>
  <mergeCells count="203">
    <mergeCell ref="G176:H176"/>
    <mergeCell ref="I176:J176"/>
    <mergeCell ref="K176:L176"/>
    <mergeCell ref="I180:J180"/>
    <mergeCell ref="E161:F161"/>
    <mergeCell ref="G161:H161"/>
    <mergeCell ref="I120:J120"/>
    <mergeCell ref="E105:F105"/>
    <mergeCell ref="A174:A187"/>
    <mergeCell ref="C182:C186"/>
    <mergeCell ref="E180:F180"/>
    <mergeCell ref="G180:H180"/>
    <mergeCell ref="E165:F165"/>
    <mergeCell ref="G165:H165"/>
    <mergeCell ref="A159:A172"/>
    <mergeCell ref="C122:C126"/>
    <mergeCell ref="C115:D115"/>
    <mergeCell ref="E116:F116"/>
    <mergeCell ref="G116:H116"/>
    <mergeCell ref="I116:J116"/>
    <mergeCell ref="E120:F120"/>
    <mergeCell ref="G120:H120"/>
    <mergeCell ref="G105:H105"/>
    <mergeCell ref="I105:J105"/>
    <mergeCell ref="C175:D175"/>
    <mergeCell ref="C160:D160"/>
    <mergeCell ref="C27:D27"/>
    <mergeCell ref="C40:D40"/>
    <mergeCell ref="C39:L39"/>
    <mergeCell ref="C26:L26"/>
    <mergeCell ref="I41:J41"/>
    <mergeCell ref="K41:L41"/>
    <mergeCell ref="C174:L174"/>
    <mergeCell ref="K45:L45"/>
    <mergeCell ref="C159:L159"/>
    <mergeCell ref="C167:C171"/>
    <mergeCell ref="I45:J45"/>
    <mergeCell ref="C54:L54"/>
    <mergeCell ref="C55:D55"/>
    <mergeCell ref="E56:F56"/>
    <mergeCell ref="G56:H56"/>
    <mergeCell ref="I56:J56"/>
    <mergeCell ref="C47:C51"/>
    <mergeCell ref="E60:F60"/>
    <mergeCell ref="G60:H60"/>
    <mergeCell ref="E45:F45"/>
    <mergeCell ref="G45:H45"/>
    <mergeCell ref="I60:J60"/>
    <mergeCell ref="C70:D70"/>
    <mergeCell ref="E71:F71"/>
    <mergeCell ref="G71:H71"/>
    <mergeCell ref="C1:L1"/>
    <mergeCell ref="D5:K5"/>
    <mergeCell ref="D6:K6"/>
    <mergeCell ref="D14:K14"/>
    <mergeCell ref="D7:K7"/>
    <mergeCell ref="I101:J101"/>
    <mergeCell ref="E75:F75"/>
    <mergeCell ref="G75:H75"/>
    <mergeCell ref="I75:J75"/>
    <mergeCell ref="C77:C81"/>
    <mergeCell ref="I71:J71"/>
    <mergeCell ref="D8:K8"/>
    <mergeCell ref="D9:K9"/>
    <mergeCell ref="D10:K10"/>
    <mergeCell ref="D11:K11"/>
    <mergeCell ref="D17:K17"/>
    <mergeCell ref="D18:K18"/>
    <mergeCell ref="D19:K19"/>
    <mergeCell ref="D20:K20"/>
    <mergeCell ref="D21:K21"/>
    <mergeCell ref="D22:K22"/>
    <mergeCell ref="D23:K23"/>
    <mergeCell ref="C32:C36"/>
    <mergeCell ref="D16:K16"/>
    <mergeCell ref="D15:K15"/>
    <mergeCell ref="E41:F41"/>
    <mergeCell ref="G41:H41"/>
    <mergeCell ref="C62:C66"/>
    <mergeCell ref="C69:L69"/>
    <mergeCell ref="C84:L84"/>
    <mergeCell ref="C85:D85"/>
    <mergeCell ref="E86:F86"/>
    <mergeCell ref="G86:H86"/>
    <mergeCell ref="I86:J86"/>
    <mergeCell ref="E90:F90"/>
    <mergeCell ref="G90:H90"/>
    <mergeCell ref="I90:J90"/>
    <mergeCell ref="C92:C96"/>
    <mergeCell ref="C107:C111"/>
    <mergeCell ref="C114:L114"/>
    <mergeCell ref="C99:L99"/>
    <mergeCell ref="C100:D100"/>
    <mergeCell ref="E220:F220"/>
    <mergeCell ref="G220:H220"/>
    <mergeCell ref="I220:J220"/>
    <mergeCell ref="C206:C210"/>
    <mergeCell ref="E196:F196"/>
    <mergeCell ref="G196:H196"/>
    <mergeCell ref="I196:J196"/>
    <mergeCell ref="C198:C202"/>
    <mergeCell ref="C189:L189"/>
    <mergeCell ref="C190:D190"/>
    <mergeCell ref="E191:F191"/>
    <mergeCell ref="G191:H191"/>
    <mergeCell ref="I191:J191"/>
    <mergeCell ref="E204:F204"/>
    <mergeCell ref="G204:H204"/>
    <mergeCell ref="I204:J204"/>
    <mergeCell ref="K180:L180"/>
    <mergeCell ref="E176:F176"/>
    <mergeCell ref="E101:F101"/>
    <mergeCell ref="G101:H101"/>
    <mergeCell ref="C222:C226"/>
    <mergeCell ref="E228:F228"/>
    <mergeCell ref="G228:H228"/>
    <mergeCell ref="I228:J228"/>
    <mergeCell ref="C213:L213"/>
    <mergeCell ref="C214:D214"/>
    <mergeCell ref="E215:F215"/>
    <mergeCell ref="G215:H215"/>
    <mergeCell ref="I215:J215"/>
    <mergeCell ref="E244:F244"/>
    <mergeCell ref="G244:H244"/>
    <mergeCell ref="I244:J244"/>
    <mergeCell ref="C246:C250"/>
    <mergeCell ref="E252:F252"/>
    <mergeCell ref="G252:H252"/>
    <mergeCell ref="I252:J252"/>
    <mergeCell ref="C230:C234"/>
    <mergeCell ref="C237:L237"/>
    <mergeCell ref="C238:D238"/>
    <mergeCell ref="E239:F239"/>
    <mergeCell ref="G239:H239"/>
    <mergeCell ref="I239:J239"/>
    <mergeCell ref="E268:F268"/>
    <mergeCell ref="G268:H268"/>
    <mergeCell ref="I268:J268"/>
    <mergeCell ref="C270:C274"/>
    <mergeCell ref="E276:F276"/>
    <mergeCell ref="G276:H276"/>
    <mergeCell ref="I276:J276"/>
    <mergeCell ref="C254:C258"/>
    <mergeCell ref="C261:L261"/>
    <mergeCell ref="C262:D262"/>
    <mergeCell ref="E263:F263"/>
    <mergeCell ref="G263:H263"/>
    <mergeCell ref="I263:J263"/>
    <mergeCell ref="G292:H292"/>
    <mergeCell ref="I292:J292"/>
    <mergeCell ref="C294:C298"/>
    <mergeCell ref="E300:F300"/>
    <mergeCell ref="G300:H300"/>
    <mergeCell ref="I300:J300"/>
    <mergeCell ref="C278:C282"/>
    <mergeCell ref="C285:L285"/>
    <mergeCell ref="C286:D286"/>
    <mergeCell ref="E287:F287"/>
    <mergeCell ref="G287:H287"/>
    <mergeCell ref="I287:J287"/>
    <mergeCell ref="C309:L309"/>
    <mergeCell ref="C310:D310"/>
    <mergeCell ref="E311:F311"/>
    <mergeCell ref="G311:H311"/>
    <mergeCell ref="E135:F135"/>
    <mergeCell ref="G135:H135"/>
    <mergeCell ref="C137:C141"/>
    <mergeCell ref="C302:C306"/>
    <mergeCell ref="D12:K12"/>
    <mergeCell ref="D13:K13"/>
    <mergeCell ref="C144:L144"/>
    <mergeCell ref="C145:D145"/>
    <mergeCell ref="E146:F146"/>
    <mergeCell ref="G146:H146"/>
    <mergeCell ref="I146:J146"/>
    <mergeCell ref="E150:F150"/>
    <mergeCell ref="G150:H150"/>
    <mergeCell ref="I150:J150"/>
    <mergeCell ref="C152:C156"/>
    <mergeCell ref="C129:L129"/>
    <mergeCell ref="C130:D130"/>
    <mergeCell ref="E131:F131"/>
    <mergeCell ref="G131:H131"/>
    <mergeCell ref="E292:F292"/>
    <mergeCell ref="C326:D326"/>
    <mergeCell ref="E327:F327"/>
    <mergeCell ref="G327:H327"/>
    <mergeCell ref="E332:F332"/>
    <mergeCell ref="G332:H332"/>
    <mergeCell ref="E316:F316"/>
    <mergeCell ref="G316:H316"/>
    <mergeCell ref="C318:C322"/>
    <mergeCell ref="C325:L325"/>
    <mergeCell ref="E348:F348"/>
    <mergeCell ref="G348:H348"/>
    <mergeCell ref="I348:J348"/>
    <mergeCell ref="C350:C354"/>
    <mergeCell ref="C334:C338"/>
    <mergeCell ref="C341:L341"/>
    <mergeCell ref="C342:D342"/>
    <mergeCell ref="E343:F343"/>
    <mergeCell ref="G343:H343"/>
    <mergeCell ref="I343:J343"/>
  </mergeCells>
  <hyperlinks>
    <hyperlink ref="D5" location="'Tarif. Incitative'!A14" display="'Tarif. Incitative'!A14" xr:uid="{00000000-0004-0000-0700-000000000000}"/>
    <hyperlink ref="D2" location="Sommaire!A1" display="Retour sommaire annexe" xr:uid="{00000000-0004-0000-0700-000001000000}"/>
    <hyperlink ref="C27" location="'Tarif. Incitative'!A1" display="Retour sommaire fiche" xr:uid="{00000000-0004-0000-0700-000002000000}"/>
    <hyperlink ref="C40" location="'Tarif. Incitative'!A1" display="Retour sommaire fiche" xr:uid="{00000000-0004-0000-0700-000003000000}"/>
    <hyperlink ref="C160" location="'Tarif. Incitative'!A1" display="Retour sommaire fiche" xr:uid="{00000000-0004-0000-0700-000004000000}"/>
    <hyperlink ref="C175" location="'Tarif. Incitative'!A1" display="Retour sommaire fiche" xr:uid="{00000000-0004-0000-0700-000006000000}"/>
    <hyperlink ref="D6:D15" location="OMR!A19" display="OMR!A19" xr:uid="{00000000-0004-0000-0700-000008000000}"/>
    <hyperlink ref="D14" location="'Tarif. Incitative'!A42" display="'Tarif. Incitative'!A42" xr:uid="{00000000-0004-0000-0700-00000A000000}"/>
    <hyperlink ref="D15" location="'Tarif. Incitative'!A72" display="'Tarif. Incitative'!A72" xr:uid="{00000000-0004-0000-0700-00000C000000}"/>
    <hyperlink ref="D6" location="'Tarif. Incitative'!A14" display="'Tarif. Incitative'!A14" xr:uid="{6711EA75-70CD-46D6-ACF5-045C77E48253}"/>
    <hyperlink ref="D15:H15" location="'Tarif. Incitative'!A55" display="Tableau 77 - Coûts aidés par flux, avec ou sans TI (en euros par habitant)" xr:uid="{D381EE6D-BB4F-4766-92EE-202C2713AAF4}"/>
    <hyperlink ref="D14:H14" location="'Tarif. Incitative'!A40" display="Tableau 76 - Coûts complets et aidés tous flux, avec ou sans TI (en euro par habitant)" xr:uid="{0B579665-D2A9-4EF6-BF44-ABC3E165CF75}"/>
    <hyperlink ref="D6:H6" location="'Tarif. Incitative'!A25" display="Tableau 75 - Dispersion des quantités de déchets collectés pour les quatre principaux flux avec ou sans TI " xr:uid="{FCFB25A4-D2B8-47BB-9A99-80C60DBE08D2}"/>
    <hyperlink ref="D5:H5" location="'Tarif. Incitative'!A12" display="Tableau 74 - Dispersion des quantités de déchets totaux collectés avec ou sans TI" xr:uid="{BE9D6494-0974-4B18-9771-C5E5C2EEAA48}"/>
    <hyperlink ref="D5:K5" location="'Tarif. Incitative'!A26" display="Tarification incitative - Dispersion des quantités de déchets totaux collectés avec ou sans TI" xr:uid="{DF6501DD-0FB3-4864-BDFA-E4B96A58B483}"/>
    <hyperlink ref="D6:K6" location="'Tarif. Incitative'!A39" display="Tarification incitative - Dispersion des quantités de déchets collectés pour les quatre principaux flux avec ou sans TI " xr:uid="{8DD329A9-3D7D-409C-BF43-E5731D33B3A3}"/>
    <hyperlink ref="D14:K14" location="'Tarif. Incitative'!A159" display="Tarification incitative - Coûts complets et aidés tous flux avec ou sans TI (en euros par habitant)" xr:uid="{E8C14E29-D62F-44CE-823D-922EF5227A55}"/>
    <hyperlink ref="D15:K15" location="'Tarif. Incitative'!A174" display="Tarification incitative - Coûts aidés par flux avec ou sans TI (en euros par habitant)" xr:uid="{BEC24C19-9662-49D4-A28E-1D6F7585B736}"/>
    <hyperlink ref="C55" location="'Tarif. Incitative'!A1" display="Retour sommaire fiche" xr:uid="{0C0908C5-7C75-412E-86C1-9882D9774799}"/>
    <hyperlink ref="D7" location="'Tarif. Incitative'!A14" display="'Tarif. Incitative'!A14" xr:uid="{314320C7-8750-43A5-93B9-51E637A547D9}"/>
    <hyperlink ref="D7:H7" location="'Tarif. Incitative'!A25" display="Tableau 75 - Dispersion des quantités de déchets collectés pour les quatre principaux flux avec ou sans TI " xr:uid="{D1A0B884-79EC-4252-8BFA-417A37B377E9}"/>
    <hyperlink ref="D7:K7" location="'Tarif. Incitative'!A54" display="Tarification incitative - Dispersion des quantités de déchets totaux collectés par typologie d'habitat avec ou sans TI" xr:uid="{01BD4078-1B48-46AA-B4D5-32D4B72559CF}"/>
    <hyperlink ref="D16" location="'Tarif. Incitative'!A14" display="'Tarif. Incitative'!A14" xr:uid="{F5E64365-3EBB-4910-BDC1-2292ED5E4090}"/>
    <hyperlink ref="D16:H16" location="'Tarif. Incitative'!A25" display="Tableau 75 - Dispersion des quantités de déchets collectés pour les quatre principaux flux avec ou sans TI " xr:uid="{34DEE6B7-1612-449C-986C-168FCE76BFA7}"/>
    <hyperlink ref="D16:K16" location="'Tarif. Incitative'!A189" display="Tarification incitative - Coûts aidés tous flux par typologie d'habitat avec ou sans TI (en euros par habitant)" xr:uid="{793BFCB5-554D-4922-AC84-00ACF4669D62}"/>
    <hyperlink ref="C190" location="'Tarif. Incitative'!A1" display="Retour sommaire fiche" xr:uid="{0E03BF54-CE81-4367-BC49-F1F0C56A2CB8}"/>
    <hyperlink ref="C70" location="'Tarif. Incitative'!A1" display="Retour sommaire fiche" xr:uid="{B13C5323-D25C-4FAA-9FE8-FBF51FA20D2C}"/>
    <hyperlink ref="D8" location="'Tarif. Incitative'!A14" display="'Tarif. Incitative'!A14" xr:uid="{2FF915FF-0D6C-4FE6-8EFD-113237603F66}"/>
    <hyperlink ref="D8:H8" location="'Tarif. Incitative'!A25" display="Tableau 75 - Dispersion des quantités de déchets collectés pour les quatre principaux flux avec ou sans TI " xr:uid="{00F11C50-7A57-47AE-81AC-5C0010412651}"/>
    <hyperlink ref="D8:K8" location="'Tarif. Incitative'!A69" display="Tarification incitative - Dispersion des quantités d'OMR collectées par typologie d'habitat avec ou sans TI" xr:uid="{2921744A-EFD5-4B58-8441-BC4007F95165}"/>
    <hyperlink ref="D9" location="'Tarif. Incitative'!A14" display="'Tarif. Incitative'!A14" xr:uid="{B2E8A0A9-B1BA-40AD-BEFC-57CBAC824818}"/>
    <hyperlink ref="D10" location="'Tarif. Incitative'!A14" display="'Tarif. Incitative'!A14" xr:uid="{72A50552-F562-4AD8-AD9C-2B4FCCDA77F2}"/>
    <hyperlink ref="D11" location="'Tarif. Incitative'!A14" display="'Tarif. Incitative'!A14" xr:uid="{96ABFC83-A4CE-4D4E-B746-0BD3FA78B268}"/>
    <hyperlink ref="D9:H9" location="'Tarif. Incitative'!A25" display="Tableau 75 - Dispersion des quantités de déchets collectés pour les quatre principaux flux avec ou sans TI " xr:uid="{044E633F-FD8C-4781-A78D-36CEE758FB69}"/>
    <hyperlink ref="D10:H10" location="'Tarif. Incitative'!A25" display="Tableau 75 - Dispersion des quantités de déchets collectés pour les quatre principaux flux avec ou sans TI " xr:uid="{B18513FA-D6BF-44E9-BE7F-6C597AFC3201}"/>
    <hyperlink ref="D11:H11" location="'Tarif. Incitative'!A25" display="Tableau 75 - Dispersion des quantités de déchets collectés pour les quatre principaux flux avec ou sans TI " xr:uid="{2897C623-F13A-4415-8062-AD22149863DD}"/>
    <hyperlink ref="D9:K11" location="'Tarif. Incitative'!A55" display="Tarification incitative - Dispersion des quantités de déchets totaux collectés par typologie d'habitat avec ou sans TI" xr:uid="{C0424225-1F27-46B5-BF55-F68F378C26D7}"/>
    <hyperlink ref="C100" location="'Tarif. Incitative'!A1" display="Retour sommaire fiche" xr:uid="{F291DC87-F0E1-42EC-86A0-F3B2321FE7A4}"/>
    <hyperlink ref="C115" location="'Tarif. Incitative'!A1" display="Retour sommaire fiche" xr:uid="{21F81BCF-D580-47D8-B56C-D1DD4E7E2432}"/>
    <hyperlink ref="C85" location="'Tarif. Incitative'!A1" display="Retour sommaire fiche" xr:uid="{F51F11AE-7572-4716-959C-1E5C1FAC912E}"/>
    <hyperlink ref="D17" location="'Tarif. Incitative'!A14" display="'Tarif. Incitative'!A14" xr:uid="{890211B7-016D-4BD8-AE9E-AB9FDE538FC3}"/>
    <hyperlink ref="D18" location="'Tarif. Incitative'!A14" display="'Tarif. Incitative'!A14" xr:uid="{0B8B4AD5-1884-4E2D-8500-42E0354C0EE8}"/>
    <hyperlink ref="D19" location="'Tarif. Incitative'!A14" display="'Tarif. Incitative'!A14" xr:uid="{DF2B97F2-A7CE-4830-A730-046B56C57054}"/>
    <hyperlink ref="D20" location="'Tarif. Incitative'!A14" display="'Tarif. Incitative'!A14" xr:uid="{2EC0D0C8-CB58-4F3C-9FB5-82CCA90E5A57}"/>
    <hyperlink ref="D17:H17" location="'Tarif. Incitative'!A25" display="Tableau 75 - Dispersion des quantités de déchets collectés pour les quatre principaux flux avec ou sans TI " xr:uid="{318EDB27-EA35-4AE6-91DE-98B777990C2B}"/>
    <hyperlink ref="D18:H18" location="'Tarif. Incitative'!A25" display="Tableau 75 - Dispersion des quantités de déchets collectés pour les quatre principaux flux avec ou sans TI " xr:uid="{4379E36F-3E3E-4467-A3F6-E4CD863438BE}"/>
    <hyperlink ref="D19:H19" location="'Tarif. Incitative'!A25" display="Tableau 75 - Dispersion des quantités de déchets collectés pour les quatre principaux flux avec ou sans TI " xr:uid="{1A86FBFC-4398-44F6-A3EC-95F7AA142F36}"/>
    <hyperlink ref="D20:H20" location="'Tarif. Incitative'!A25" display="Tableau 75 - Dispersion des quantités de déchets collectés pour les quatre principaux flux avec ou sans TI " xr:uid="{75CA3252-502B-44C4-9775-143E862AC89B}"/>
    <hyperlink ref="D17:K20" location="'Tarif. Incitative'!A101" display="Tarification incitative - Coûts aidés tous flux par typologie d'habitat avec ou sans TI (en euros par habitant)" xr:uid="{FFE80EF4-688E-4DC0-ABDF-0011E99756D0}"/>
    <hyperlink ref="C214" location="'Tarif. Incitative'!A1" display="Retour sommaire fiche" xr:uid="{2F4958CB-4BA7-4641-A8BB-6610A115B640}"/>
    <hyperlink ref="C238" location="'Tarif. Incitative'!A1" display="Retour sommaire fiche" xr:uid="{BCDCF332-182C-4B5F-8806-DEC53198BCB7}"/>
    <hyperlink ref="C262" location="'Tarif. Incitative'!A1" display="Retour sommaire fiche" xr:uid="{B97D4083-1713-4AF3-9875-4E2EC3AF0FF4}"/>
    <hyperlink ref="C286" location="'Tarif. Incitative'!A1" display="Retour sommaire fiche" xr:uid="{1C22BAFB-E044-477B-A551-87DD66125603}"/>
    <hyperlink ref="D12" location="'Tarif. Incitative'!A14" display="'Tarif. Incitative'!A14" xr:uid="{FEBDFB5E-D3C6-4370-BBA4-20EEFE1E7247}"/>
    <hyperlink ref="D12:H12" location="'Tarif. Incitative'!A25" display="Tableau 75 - Dispersion des quantités de déchets collectés pour les quatre principaux flux avec ou sans TI " xr:uid="{DE21EAB0-0961-45AE-BEB1-6232CB7A9E07}"/>
    <hyperlink ref="D13" location="'Tarif. Incitative'!A14" display="'Tarif. Incitative'!A14" xr:uid="{B0D5BCAD-08E2-402C-8782-BF15CC4A4573}"/>
    <hyperlink ref="D13:H13" location="'Tarif. Incitative'!A25" display="Tableau 75 - Dispersion des quantités de déchets collectés pour les quatre principaux flux avec ou sans TI " xr:uid="{8523F5DE-DA1B-4F67-889C-78E4346686AD}"/>
    <hyperlink ref="C145" location="'Tarif. Incitative'!A1" display="Retour sommaire fiche" xr:uid="{F5B31567-3299-4CB3-A55B-F51959CE11BD}"/>
    <hyperlink ref="C130" location="'Tarif. Incitative'!A1" display="Retour sommaire fiche" xr:uid="{A96DC7DE-6CBE-4D0C-91A4-B28BBEA0EF16}"/>
    <hyperlink ref="D21" location="'Tarif. Incitative'!A14" display="'Tarif. Incitative'!A14" xr:uid="{196A8A84-BB9A-4438-9A03-B5DA57B82EC9}"/>
    <hyperlink ref="D22" location="'Tarif. Incitative'!A14" display="'Tarif. Incitative'!A14" xr:uid="{CDAE5FBF-69F0-4AA6-AB32-242274A654D2}"/>
    <hyperlink ref="D23" location="'Tarif. Incitative'!A14" display="'Tarif. Incitative'!A14" xr:uid="{AD26E6B1-982B-4154-B344-702D0D4E0188}"/>
    <hyperlink ref="D21:H21" location="'Tarif. Incitative'!A25" display="Tableau 75 - Dispersion des quantités de déchets collectés pour les quatre principaux flux avec ou sans TI " xr:uid="{AADC5AE7-F1B1-488C-B38A-9E995CC24376}"/>
    <hyperlink ref="D22:H22" location="'Tarif. Incitative'!A25" display="Tableau 75 - Dispersion des quantités de déchets collectés pour les quatre principaux flux avec ou sans TI " xr:uid="{89FDEBC6-1C53-4428-8C99-5182E914BA2D}"/>
    <hyperlink ref="D23:H23" location="'Tarif. Incitative'!A25" display="Tableau 75 - Dispersion des quantités de déchets collectés pour les quatre principaux flux avec ou sans TI " xr:uid="{7E18092C-5034-4C41-937C-0B2A9F28C94A}"/>
    <hyperlink ref="D21:K23" location="'Tarif. Incitative'!A101" display="Tarification incitative - Coûts aidés tous flux par typologie d'habitat avec ou sans TI (en euros par habitant)" xr:uid="{4A859260-9218-46A6-9D4C-0F3ADD9BE514}"/>
    <hyperlink ref="C310" location="'Tarif. Incitative'!A1" display="Retour sommaire fiche" xr:uid="{EA43C6F8-5052-47A7-AE5E-7791338F3BE6}"/>
    <hyperlink ref="C326" location="'Tarif. Incitative'!A1" display="Retour sommaire fiche" xr:uid="{9ED6E345-A1FE-4ADF-B096-9A0D76A30824}"/>
    <hyperlink ref="C342" location="'Tarif. Incitative'!A1" display="Retour sommaire fiche" xr:uid="{41135FC4-0CE9-4AF9-9618-ACDC0D1E7423}"/>
    <hyperlink ref="D9:K9" location="'Tarif. Incitative'!A84" display="Tarification incitative - Dispersion des quantités de verre collectées par typologie d'habitat avec ou sans TI" xr:uid="{61CB1175-F320-4BA8-8962-4458280908A8}"/>
    <hyperlink ref="D10:K10" location="'Tarif. Incitative'!A99" display="Tarification incitative - Dispersion des quantités de PEHV collectées par typologie d'habitat avec ou sans TI" xr:uid="{5AF3C79C-78B8-4867-94CC-353C4704B584}"/>
    <hyperlink ref="D11:K11" location="'Tarif. Incitative'!A114" display="Tarification incitative - Dispersion des quantités de déchets en déchèterie collectées par typologie d'habitat avec ou sans TI" xr:uid="{3AB7C0E1-9342-42A1-BF17-EF1C1877254D}"/>
    <hyperlink ref="D12:K12" location="'Tarif. Incitative'!A129" display="Tarification incitative - Dispersion des quantités d'OMR collectées par fréquence de collecte avec ou sans TI" xr:uid="{6AEDAFF5-1AF1-4C67-AB69-203250B84CB6}"/>
    <hyperlink ref="D13:K13" location="'Tarif. Incitative'!A144" display="Tarification incitative - Dispersion des quantités d'OMR collectées par typologie d'habitat selon le type de facturation" xr:uid="{05A45AFD-816A-4589-B5AC-DAEBA859DA0E}"/>
    <hyperlink ref="D17:K17" location="'Tarif. Incitative'!A213" display="Tarification incitative - Coûts aidés des OMR par typologie d'habitat avec ou sans TI (en euros par habitant)" xr:uid="{85B48990-4B98-4B4A-A756-DB47A9551111}"/>
    <hyperlink ref="D18:K18" location="'Tarif. Incitative'!A237" display="Tarification incitative - Coûts aidés du verre par typologie d'habitat avec ou sans TI (en euros par habitant)" xr:uid="{5438B25C-0311-49D2-9E7B-ECE96048BB49}"/>
    <hyperlink ref="D19:K19" location="'Tarif. Incitative'!A261" display="Tarification incitative - Coûts aidés des PEHV par typologie d'habitat avec ou sans TI (en euros par habitant)" xr:uid="{297E105C-EB06-4B98-AD9C-7188D30ABF95}"/>
    <hyperlink ref="D20:K20" location="'Tarif. Incitative'!A285" display="Tarification incitative - Coûts aidés des déchets en déchèterie par typologie d'habitat avec ou sans TI (en euros par habitant)" xr:uid="{4C4021F2-1AA7-413D-90A2-9200CC0F2F1C}"/>
    <hyperlink ref="D21:K21" location="'Tarif. Incitative'!A309" display="Tarification incitative - Charges de collecte par fréquence de collecte avec ou sans TI (en euros par habitant)" xr:uid="{6A48A67B-C394-4AA9-8C8D-1D76122DC301}"/>
    <hyperlink ref="D22:K22" location="'Tarif. Incitative'!A325" display="Tarification incitative - Coûts aidés des OMR par fréquence de collecte avec ou sans TI (en euros par habitant)" xr:uid="{AD6F273B-7277-4070-8E36-B0F19AC8B4E5}"/>
    <hyperlink ref="D23:K23" location="'Tarif. Incitative'!A341" display="Tarification incitative - Coûts aidés des OMR par typologie d'habitat selon le type de facturation(en euros par habitant)" xr:uid="{7CE168D4-6C3A-4E6B-896A-E52A5C23710C}"/>
  </hyperlinks>
  <pageMargins left="0.70866141732283472" right="0.70866141732283472" top="0.74803149606299213" bottom="0.74803149606299213" header="0.31496062992125984" footer="0.31496062992125984"/>
  <pageSetup paperSize="9" scale="59" fitToHeight="10" orientation="portrait" r:id="rId1"/>
  <rowBreaks count="1" manualBreakCount="1">
    <brk id="173" min="2" max="10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8"/>
  <sheetViews>
    <sheetView showGridLines="0" topLeftCell="C1" zoomScaleNormal="100" workbookViewId="0">
      <selection activeCell="A41" sqref="A41:A54"/>
    </sheetView>
  </sheetViews>
  <sheetFormatPr baseColWidth="10" defaultColWidth="11.44140625" defaultRowHeight="14.4" x14ac:dyDescent="0.3"/>
  <cols>
    <col min="1" max="2" width="11.44140625" hidden="1" customWidth="1"/>
    <col min="3" max="3" width="3.33203125" customWidth="1"/>
    <col min="4" max="4" width="25.33203125" style="1" bestFit="1" customWidth="1"/>
    <col min="5" max="18" width="16.6640625" customWidth="1"/>
  </cols>
  <sheetData>
    <row r="1" spans="3:13" ht="18" x14ac:dyDescent="0.35">
      <c r="C1" s="81" t="s">
        <v>0</v>
      </c>
      <c r="D1" s="81"/>
      <c r="E1" s="81"/>
      <c r="F1" s="81"/>
      <c r="G1" s="81"/>
      <c r="H1" s="81"/>
      <c r="I1" s="81"/>
      <c r="J1" s="81"/>
      <c r="K1" s="81"/>
      <c r="L1" s="81"/>
      <c r="M1" s="81"/>
    </row>
    <row r="2" spans="3:13" x14ac:dyDescent="0.3">
      <c r="C2" s="59"/>
      <c r="D2" s="99" t="s">
        <v>12</v>
      </c>
      <c r="E2" s="99"/>
      <c r="F2" s="99"/>
      <c r="G2" s="99"/>
      <c r="H2" s="99"/>
      <c r="I2" s="99"/>
      <c r="J2" s="99"/>
      <c r="K2" s="99"/>
      <c r="L2" s="11"/>
      <c r="M2" s="59"/>
    </row>
    <row r="3" spans="3:13" x14ac:dyDescent="0.3">
      <c r="C3" s="59"/>
      <c r="D3" s="60"/>
      <c r="E3" s="59"/>
      <c r="F3" s="59"/>
      <c r="G3" s="59"/>
      <c r="H3" s="59"/>
      <c r="K3" s="59"/>
      <c r="L3" s="1"/>
    </row>
    <row r="4" spans="3:13" x14ac:dyDescent="0.3">
      <c r="C4" s="59"/>
      <c r="D4" s="60"/>
      <c r="E4" s="59"/>
      <c r="F4" s="59"/>
      <c r="G4" s="59"/>
      <c r="H4" s="59"/>
      <c r="K4" s="59"/>
      <c r="L4" s="1"/>
    </row>
    <row r="5" spans="3:13" x14ac:dyDescent="0.3">
      <c r="C5" s="59"/>
      <c r="D5" s="99" t="s">
        <v>119</v>
      </c>
      <c r="E5" s="99"/>
      <c r="F5" s="99"/>
      <c r="G5" s="99"/>
      <c r="H5" s="99"/>
      <c r="I5" s="99"/>
      <c r="J5" s="99"/>
      <c r="K5" s="99"/>
      <c r="L5" s="11"/>
      <c r="M5" s="59"/>
    </row>
    <row r="6" spans="3:13" x14ac:dyDescent="0.3">
      <c r="C6" s="59"/>
      <c r="D6" s="99" t="s">
        <v>120</v>
      </c>
      <c r="E6" s="99"/>
      <c r="F6" s="99"/>
      <c r="G6" s="99"/>
      <c r="H6" s="99"/>
      <c r="I6" s="99"/>
      <c r="J6" s="99"/>
      <c r="K6" s="99"/>
      <c r="L6" s="11"/>
      <c r="M6" s="59"/>
    </row>
    <row r="7" spans="3:13" x14ac:dyDescent="0.3">
      <c r="C7" s="59"/>
      <c r="D7" s="99" t="s">
        <v>121</v>
      </c>
      <c r="E7" s="99"/>
      <c r="F7" s="99"/>
      <c r="G7" s="99"/>
      <c r="H7" s="99"/>
      <c r="I7" s="99"/>
      <c r="J7" s="99"/>
      <c r="K7" s="99"/>
      <c r="L7" s="11"/>
      <c r="M7" s="59"/>
    </row>
    <row r="8" spans="3:13" x14ac:dyDescent="0.3">
      <c r="C8" s="59"/>
      <c r="D8" s="99" t="s">
        <v>122</v>
      </c>
      <c r="E8" s="99"/>
      <c r="F8" s="99"/>
      <c r="G8" s="99"/>
      <c r="H8" s="99"/>
      <c r="I8" s="99"/>
      <c r="J8" s="99"/>
      <c r="K8" s="99"/>
      <c r="L8" s="11"/>
      <c r="M8" s="59"/>
    </row>
    <row r="9" spans="3:13" x14ac:dyDescent="0.3">
      <c r="C9" s="59"/>
      <c r="D9" s="99" t="s">
        <v>123</v>
      </c>
      <c r="E9" s="99"/>
      <c r="F9" s="99"/>
      <c r="G9" s="99"/>
      <c r="H9" s="99"/>
      <c r="I9" s="99"/>
      <c r="J9" s="99"/>
      <c r="K9" s="99"/>
      <c r="L9" s="11"/>
      <c r="M9" s="59"/>
    </row>
    <row r="10" spans="3:13" x14ac:dyDescent="0.3">
      <c r="C10" s="59"/>
      <c r="D10" s="60"/>
      <c r="E10" s="59"/>
      <c r="F10" s="59"/>
      <c r="G10" s="59"/>
      <c r="H10" s="59"/>
      <c r="I10" s="59"/>
      <c r="J10" s="59"/>
      <c r="K10" s="59"/>
      <c r="L10" s="1"/>
    </row>
    <row r="11" spans="3:13" x14ac:dyDescent="0.3">
      <c r="C11" s="59"/>
      <c r="D11" s="60"/>
      <c r="E11" s="59"/>
      <c r="F11" s="59"/>
      <c r="G11" s="59"/>
      <c r="H11" s="59"/>
      <c r="I11" s="59"/>
      <c r="J11" s="59"/>
      <c r="K11" s="59"/>
      <c r="L11" s="1"/>
    </row>
    <row r="12" spans="3:13" x14ac:dyDescent="0.3">
      <c r="C12" s="59"/>
      <c r="D12" s="60"/>
      <c r="E12" s="59"/>
      <c r="F12" s="59"/>
      <c r="G12" s="59"/>
      <c r="H12" s="59"/>
      <c r="I12" s="59"/>
      <c r="J12" s="59"/>
      <c r="K12" s="59"/>
    </row>
    <row r="13" spans="3:13" ht="18" x14ac:dyDescent="0.35">
      <c r="C13" s="81" t="str">
        <f>D5</f>
        <v>Évolution - Évolution du coût aidé HT tous flux entre 2010 et 2023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</row>
    <row r="14" spans="3:13" x14ac:dyDescent="0.3">
      <c r="C14" s="106" t="s">
        <v>35</v>
      </c>
      <c r="D14" s="106"/>
      <c r="E14" s="59"/>
      <c r="F14" s="59"/>
      <c r="G14" s="59"/>
      <c r="H14" s="59"/>
      <c r="I14" s="59"/>
      <c r="J14" s="59"/>
      <c r="K14" s="59"/>
    </row>
    <row r="15" spans="3:13" x14ac:dyDescent="0.3">
      <c r="C15" s="59"/>
      <c r="D15" s="59"/>
      <c r="E15" s="2">
        <v>2010</v>
      </c>
      <c r="F15" s="2">
        <v>2012</v>
      </c>
      <c r="G15" s="2">
        <v>2014</v>
      </c>
      <c r="H15" s="2">
        <v>2016</v>
      </c>
      <c r="I15" s="2">
        <v>2018</v>
      </c>
      <c r="J15" s="2">
        <v>2019</v>
      </c>
      <c r="K15" s="2">
        <v>2020</v>
      </c>
      <c r="L15" s="2">
        <v>2022</v>
      </c>
      <c r="M15" s="2">
        <v>2023</v>
      </c>
    </row>
    <row r="16" spans="3:13" x14ac:dyDescent="0.3">
      <c r="C16" s="59"/>
      <c r="D16" s="3" t="s">
        <v>36</v>
      </c>
      <c r="E16" s="4">
        <v>177</v>
      </c>
      <c r="F16" s="4">
        <v>358</v>
      </c>
      <c r="G16" s="4">
        <v>382</v>
      </c>
      <c r="H16" s="4">
        <v>351</v>
      </c>
      <c r="I16" s="4">
        <v>422</v>
      </c>
      <c r="J16" s="4">
        <v>619</v>
      </c>
      <c r="K16" s="4">
        <v>463</v>
      </c>
      <c r="L16" s="4">
        <v>648</v>
      </c>
      <c r="M16" s="4">
        <v>597</v>
      </c>
    </row>
    <row r="17" spans="3:13" x14ac:dyDescent="0.3">
      <c r="C17" s="59"/>
      <c r="D17" s="60"/>
      <c r="E17" s="59"/>
      <c r="F17" s="59"/>
      <c r="G17" s="59"/>
      <c r="H17" s="59"/>
      <c r="I17" s="59"/>
      <c r="J17" s="59"/>
      <c r="K17" s="59"/>
      <c r="L17" s="59"/>
      <c r="M17" s="59"/>
    </row>
    <row r="18" spans="3:13" x14ac:dyDescent="0.3">
      <c r="C18" s="59"/>
      <c r="D18" s="59"/>
      <c r="E18" s="2">
        <v>2010</v>
      </c>
      <c r="F18" s="2">
        <v>2012</v>
      </c>
      <c r="G18" s="2">
        <v>2014</v>
      </c>
      <c r="H18" s="2">
        <v>2016</v>
      </c>
      <c r="I18" s="2">
        <v>2018</v>
      </c>
      <c r="J18" s="2">
        <v>2019</v>
      </c>
      <c r="K18" s="2">
        <v>2020</v>
      </c>
      <c r="L18" s="2">
        <v>2022</v>
      </c>
      <c r="M18" s="2">
        <v>2023</v>
      </c>
    </row>
    <row r="19" spans="3:13" ht="15" customHeight="1" x14ac:dyDescent="0.3">
      <c r="C19" s="107" t="s">
        <v>39</v>
      </c>
      <c r="D19" s="16" t="s">
        <v>23</v>
      </c>
      <c r="E19" s="28">
        <v>107.40474</v>
      </c>
      <c r="F19" s="28">
        <v>110.20652</v>
      </c>
      <c r="G19" s="28">
        <v>115.78590000000001</v>
      </c>
      <c r="H19" s="28">
        <v>122.3</v>
      </c>
      <c r="I19" s="28">
        <v>128.75655999999998</v>
      </c>
      <c r="J19" s="28">
        <v>140.38749999999999</v>
      </c>
      <c r="K19" s="28">
        <v>140.61432000000002</v>
      </c>
      <c r="L19" s="28">
        <v>163.39450000000002</v>
      </c>
      <c r="M19" s="28">
        <v>177.57040000000003</v>
      </c>
    </row>
    <row r="20" spans="3:13" x14ac:dyDescent="0.3">
      <c r="C20" s="107"/>
      <c r="D20" s="17" t="s">
        <v>24</v>
      </c>
      <c r="E20" s="33">
        <v>93.0869</v>
      </c>
      <c r="F20" s="33">
        <v>96.449699999999993</v>
      </c>
      <c r="G20" s="33">
        <v>96.435625000000002</v>
      </c>
      <c r="H20" s="33">
        <v>101.7</v>
      </c>
      <c r="I20" s="33">
        <v>105.489925</v>
      </c>
      <c r="J20" s="33">
        <v>114.1687</v>
      </c>
      <c r="K20" s="33">
        <v>114.0535</v>
      </c>
      <c r="L20" s="33">
        <v>129.84125</v>
      </c>
      <c r="M20" s="33">
        <v>139.37299999999999</v>
      </c>
    </row>
    <row r="21" spans="3:13" x14ac:dyDescent="0.3">
      <c r="C21" s="107"/>
      <c r="D21" s="16" t="s">
        <v>25</v>
      </c>
      <c r="E21" s="34">
        <v>85.240491645021478</v>
      </c>
      <c r="F21" s="34">
        <v>88.926494877048555</v>
      </c>
      <c r="G21" s="34">
        <v>93.09320429122829</v>
      </c>
      <c r="H21" s="34">
        <v>92.5</v>
      </c>
      <c r="I21" s="34">
        <v>98.011756891507034</v>
      </c>
      <c r="J21" s="34">
        <v>105.28099831116627</v>
      </c>
      <c r="K21" s="34">
        <v>108.62809072686376</v>
      </c>
      <c r="L21" s="34">
        <v>116.09271041887084</v>
      </c>
      <c r="M21" s="34">
        <v>126.86157664376694</v>
      </c>
    </row>
    <row r="22" spans="3:13" ht="16.95" customHeight="1" x14ac:dyDescent="0.3">
      <c r="C22" s="107"/>
      <c r="D22" s="16" t="s">
        <v>26</v>
      </c>
      <c r="E22" s="34">
        <v>80.412800000000004</v>
      </c>
      <c r="F22" s="34">
        <v>79.875399999999999</v>
      </c>
      <c r="G22" s="34">
        <v>83.243249999999989</v>
      </c>
      <c r="H22" s="34">
        <v>85.299599999999998</v>
      </c>
      <c r="I22" s="34">
        <v>88.6</v>
      </c>
      <c r="J22" s="34">
        <v>93.8</v>
      </c>
      <c r="K22" s="34">
        <v>96.240099999999998</v>
      </c>
      <c r="L22" s="34">
        <v>107.267</v>
      </c>
      <c r="M22" s="34">
        <v>117.375</v>
      </c>
    </row>
    <row r="23" spans="3:13" x14ac:dyDescent="0.3">
      <c r="C23" s="107"/>
      <c r="D23" s="17" t="s">
        <v>27</v>
      </c>
      <c r="E23" s="75">
        <v>65.295199999999994</v>
      </c>
      <c r="F23" s="75">
        <v>66.94605</v>
      </c>
      <c r="G23" s="75">
        <v>70.969250000000002</v>
      </c>
      <c r="H23" s="75">
        <v>72.400000000000006</v>
      </c>
      <c r="I23" s="75">
        <v>75.088875000000002</v>
      </c>
      <c r="J23" s="75">
        <v>80.199600000000004</v>
      </c>
      <c r="K23" s="75">
        <v>82.681399999999996</v>
      </c>
      <c r="L23" s="75">
        <v>90.314499999999995</v>
      </c>
      <c r="M23" s="75">
        <v>99.032000000000011</v>
      </c>
    </row>
    <row r="24" spans="3:13" x14ac:dyDescent="0.3">
      <c r="C24" s="107"/>
      <c r="D24" s="16" t="s">
        <v>28</v>
      </c>
      <c r="E24" s="28">
        <v>58.749420000000001</v>
      </c>
      <c r="F24" s="28">
        <v>56.699590000000001</v>
      </c>
      <c r="G24" s="28">
        <v>61.212449999999997</v>
      </c>
      <c r="H24" s="28">
        <v>62.3</v>
      </c>
      <c r="I24" s="28">
        <v>63.10098</v>
      </c>
      <c r="J24" s="28">
        <v>68.821700000000007</v>
      </c>
      <c r="K24" s="28">
        <v>71.011740000000003</v>
      </c>
      <c r="L24" s="28">
        <v>78.228099999999998</v>
      </c>
      <c r="M24" s="28">
        <v>86.4298</v>
      </c>
    </row>
    <row r="25" spans="3:13" x14ac:dyDescent="0.3">
      <c r="C25" s="59"/>
      <c r="D25" s="60"/>
      <c r="E25" s="59"/>
      <c r="F25" s="59"/>
      <c r="G25" s="59"/>
      <c r="H25" s="59"/>
      <c r="I25" s="59"/>
      <c r="J25" s="59"/>
      <c r="K25" s="59"/>
    </row>
    <row r="26" spans="3:13" x14ac:dyDescent="0.3">
      <c r="C26" s="59"/>
      <c r="D26" s="60"/>
      <c r="E26" s="59"/>
      <c r="F26" s="59"/>
      <c r="G26" s="59"/>
      <c r="H26" s="59"/>
      <c r="I26" s="59"/>
      <c r="J26" s="59"/>
      <c r="K26" s="59"/>
    </row>
    <row r="27" spans="3:13" ht="18" x14ac:dyDescent="0.35">
      <c r="C27" s="81" t="str">
        <f>D6</f>
        <v>Évolution - Évolution du coût aidé HT des OMR entre 2010 et 2023</v>
      </c>
      <c r="D27" s="81"/>
      <c r="E27" s="81"/>
      <c r="F27" s="81"/>
      <c r="G27" s="81"/>
      <c r="H27" s="81"/>
      <c r="I27" s="81"/>
      <c r="J27" s="81"/>
      <c r="K27" s="81"/>
      <c r="L27" s="81"/>
      <c r="M27" s="81"/>
    </row>
    <row r="28" spans="3:13" x14ac:dyDescent="0.3">
      <c r="C28" s="106" t="s">
        <v>35</v>
      </c>
      <c r="D28" s="106"/>
      <c r="E28" s="59"/>
      <c r="F28" s="59"/>
      <c r="G28" s="59"/>
      <c r="H28" s="59"/>
      <c r="I28" s="59"/>
      <c r="J28" s="59"/>
      <c r="K28" s="59"/>
    </row>
    <row r="29" spans="3:13" x14ac:dyDescent="0.3">
      <c r="C29" s="59"/>
      <c r="D29" s="59"/>
      <c r="E29" s="2">
        <v>2010</v>
      </c>
      <c r="F29" s="2">
        <v>2012</v>
      </c>
      <c r="G29" s="2">
        <v>2014</v>
      </c>
      <c r="H29" s="2">
        <v>2016</v>
      </c>
      <c r="I29" s="2">
        <v>2018</v>
      </c>
      <c r="J29" s="2">
        <v>2019</v>
      </c>
      <c r="K29" s="2">
        <v>2020</v>
      </c>
      <c r="L29" s="2">
        <v>2022</v>
      </c>
      <c r="M29" s="2">
        <v>2023</v>
      </c>
    </row>
    <row r="30" spans="3:13" x14ac:dyDescent="0.3">
      <c r="C30" s="59"/>
      <c r="D30" s="3" t="s">
        <v>36</v>
      </c>
      <c r="E30" s="4">
        <v>177</v>
      </c>
      <c r="F30" s="4">
        <v>358</v>
      </c>
      <c r="G30" s="4">
        <v>382</v>
      </c>
      <c r="H30" s="4">
        <v>351</v>
      </c>
      <c r="I30" s="4">
        <v>422</v>
      </c>
      <c r="J30" s="4">
        <v>619</v>
      </c>
      <c r="K30" s="4">
        <v>463</v>
      </c>
      <c r="L30" s="4">
        <v>648</v>
      </c>
      <c r="M30" s="4">
        <v>597</v>
      </c>
    </row>
    <row r="31" spans="3:13" x14ac:dyDescent="0.3">
      <c r="C31" s="59"/>
      <c r="D31" s="60"/>
      <c r="E31" s="59"/>
      <c r="F31" s="59"/>
      <c r="G31" s="59"/>
      <c r="I31" s="59"/>
      <c r="J31" s="59"/>
      <c r="K31" s="59"/>
      <c r="L31" s="59"/>
      <c r="M31" s="59"/>
    </row>
    <row r="32" spans="3:13" x14ac:dyDescent="0.3">
      <c r="C32" s="59"/>
      <c r="D32"/>
      <c r="E32" s="2">
        <v>2010</v>
      </c>
      <c r="F32" s="2">
        <v>2012</v>
      </c>
      <c r="G32" s="2">
        <v>2014</v>
      </c>
      <c r="H32" s="2">
        <v>2016</v>
      </c>
      <c r="I32" s="2">
        <v>2018</v>
      </c>
      <c r="J32" s="2">
        <v>2019</v>
      </c>
      <c r="K32" s="2">
        <v>2020</v>
      </c>
      <c r="L32" s="2">
        <v>2022</v>
      </c>
      <c r="M32" s="2">
        <v>2023</v>
      </c>
    </row>
    <row r="33" spans="1:14" ht="15" customHeight="1" x14ac:dyDescent="0.3">
      <c r="C33" s="107" t="s">
        <v>39</v>
      </c>
      <c r="D33" s="16" t="s">
        <v>23</v>
      </c>
      <c r="E33" s="28">
        <v>64.820899999999995</v>
      </c>
      <c r="F33" s="28">
        <v>65.93659000000001</v>
      </c>
      <c r="G33" s="28">
        <v>70.51345000000002</v>
      </c>
      <c r="H33" s="28">
        <v>73.2</v>
      </c>
      <c r="I33" s="28">
        <v>75.939790000000002</v>
      </c>
      <c r="J33" s="28">
        <v>80.169820000000016</v>
      </c>
      <c r="K33" s="28">
        <v>76.53728000000001</v>
      </c>
      <c r="L33" s="28">
        <v>92.888100000000009</v>
      </c>
      <c r="M33" s="28">
        <v>93.603999999999999</v>
      </c>
    </row>
    <row r="34" spans="1:14" x14ac:dyDescent="0.3">
      <c r="C34" s="107"/>
      <c r="D34" s="17" t="s">
        <v>24</v>
      </c>
      <c r="E34" s="33">
        <v>56.877000000000002</v>
      </c>
      <c r="F34" s="33">
        <v>57.186575000000005</v>
      </c>
      <c r="G34" s="33">
        <v>58.962699999999998</v>
      </c>
      <c r="H34" s="33">
        <v>57.9</v>
      </c>
      <c r="I34" s="33">
        <v>59.581975</v>
      </c>
      <c r="J34" s="33">
        <v>61.663200000000003</v>
      </c>
      <c r="K34" s="33">
        <v>61.391800000000003</v>
      </c>
      <c r="L34" s="33">
        <v>71.926999999999992</v>
      </c>
      <c r="M34" s="33">
        <v>71.884500000000003</v>
      </c>
    </row>
    <row r="35" spans="1:14" x14ac:dyDescent="0.3">
      <c r="C35" s="107"/>
      <c r="D35" s="16" t="s">
        <v>25</v>
      </c>
      <c r="E35" s="34">
        <v>50.843892293148905</v>
      </c>
      <c r="F35" s="34">
        <v>53.070704160545993</v>
      </c>
      <c r="G35" s="34">
        <v>55.947085816829492</v>
      </c>
      <c r="H35" s="34">
        <v>53.1</v>
      </c>
      <c r="I35" s="34">
        <v>55.155776570338602</v>
      </c>
      <c r="J35" s="34">
        <v>57.214324532697809</v>
      </c>
      <c r="K35" s="34">
        <v>59.826705337303693</v>
      </c>
      <c r="L35" s="34">
        <v>64.92666172032034</v>
      </c>
      <c r="M35" s="34">
        <v>66.307237987382663</v>
      </c>
    </row>
    <row r="36" spans="1:14" s="25" customFormat="1" ht="17.399999999999999" customHeight="1" x14ac:dyDescent="0.3">
      <c r="A36"/>
      <c r="C36" s="107"/>
      <c r="D36" s="31" t="s">
        <v>26</v>
      </c>
      <c r="E36" s="34">
        <v>47.767400000000002</v>
      </c>
      <c r="F36" s="34">
        <v>47.002499999999998</v>
      </c>
      <c r="G36" s="34">
        <v>49.554050000000004</v>
      </c>
      <c r="H36" s="34">
        <v>48.063899999999997</v>
      </c>
      <c r="I36" s="34">
        <v>48.9</v>
      </c>
      <c r="J36" s="34">
        <v>49.9</v>
      </c>
      <c r="K36" s="34">
        <v>49.8782</v>
      </c>
      <c r="L36" s="34">
        <v>57.435500000000005</v>
      </c>
      <c r="M36" s="34">
        <v>57.82</v>
      </c>
      <c r="N36"/>
    </row>
    <row r="37" spans="1:14" x14ac:dyDescent="0.3">
      <c r="C37" s="107"/>
      <c r="D37" s="17" t="s">
        <v>27</v>
      </c>
      <c r="E37" s="75">
        <v>40.140799999999999</v>
      </c>
      <c r="F37" s="75">
        <v>38.376075</v>
      </c>
      <c r="G37" s="75">
        <v>39.399100000000004</v>
      </c>
      <c r="H37" s="75">
        <v>38</v>
      </c>
      <c r="I37" s="75">
        <v>41.075900000000004</v>
      </c>
      <c r="J37" s="75">
        <v>41.122950000000003</v>
      </c>
      <c r="K37" s="75">
        <v>41.195599999999999</v>
      </c>
      <c r="L37" s="75">
        <v>44.937750000000001</v>
      </c>
      <c r="M37" s="75">
        <v>45.746499999999997</v>
      </c>
    </row>
    <row r="38" spans="1:14" x14ac:dyDescent="0.3">
      <c r="C38" s="107"/>
      <c r="D38" s="16" t="s">
        <v>28</v>
      </c>
      <c r="E38" s="28">
        <v>34.020559999999996</v>
      </c>
      <c r="F38" s="28">
        <v>33.256999999999998</v>
      </c>
      <c r="G38" s="28">
        <v>32.610810000000001</v>
      </c>
      <c r="H38" s="28">
        <v>33.1</v>
      </c>
      <c r="I38" s="28">
        <v>33.999459999999999</v>
      </c>
      <c r="J38" s="28">
        <v>34.098739999999999</v>
      </c>
      <c r="K38" s="28">
        <v>33.718960000000003</v>
      </c>
      <c r="L38" s="28">
        <v>37.028799999999997</v>
      </c>
      <c r="M38" s="28">
        <v>36.805800000000005</v>
      </c>
    </row>
    <row r="39" spans="1:14" x14ac:dyDescent="0.3">
      <c r="C39" s="59"/>
      <c r="D39" s="60"/>
      <c r="E39" s="59"/>
      <c r="F39" s="59"/>
      <c r="G39" s="59"/>
      <c r="H39" s="59"/>
      <c r="I39" s="59"/>
      <c r="J39" s="59"/>
      <c r="K39" s="59"/>
    </row>
    <row r="40" spans="1:14" x14ac:dyDescent="0.3">
      <c r="C40" s="59"/>
      <c r="D40" s="60"/>
      <c r="E40" s="59"/>
      <c r="F40" s="59"/>
      <c r="G40" s="59"/>
      <c r="H40" s="59"/>
      <c r="I40" s="59"/>
      <c r="J40" s="59"/>
      <c r="K40" s="59"/>
    </row>
    <row r="41" spans="1:14" ht="18" x14ac:dyDescent="0.35">
      <c r="A41" s="104"/>
      <c r="C41" s="81" t="str">
        <f>D7</f>
        <v>Évolution - Évolution du coût aidé HT des emballages en verre entre 2010 et 2023</v>
      </c>
      <c r="D41" s="81"/>
      <c r="E41" s="81"/>
      <c r="F41" s="81"/>
      <c r="G41" s="81"/>
      <c r="H41" s="81"/>
      <c r="I41" s="81"/>
      <c r="J41" s="81"/>
      <c r="K41" s="81"/>
      <c r="L41" s="81"/>
      <c r="M41" s="81"/>
    </row>
    <row r="42" spans="1:14" x14ac:dyDescent="0.3">
      <c r="A42" s="104"/>
      <c r="C42" s="106" t="s">
        <v>35</v>
      </c>
      <c r="D42" s="106"/>
      <c r="E42" s="59"/>
      <c r="F42" s="59"/>
      <c r="G42" s="59"/>
      <c r="H42" s="59"/>
      <c r="I42" s="59"/>
      <c r="J42" s="59"/>
      <c r="K42" s="59"/>
    </row>
    <row r="43" spans="1:14" x14ac:dyDescent="0.3">
      <c r="A43" s="104"/>
      <c r="C43" s="59"/>
      <c r="D43" s="59"/>
      <c r="E43" s="2">
        <v>2010</v>
      </c>
      <c r="F43" s="2">
        <v>2012</v>
      </c>
      <c r="G43" s="2">
        <v>2014</v>
      </c>
      <c r="H43" s="2">
        <v>2016</v>
      </c>
      <c r="I43" s="2">
        <v>2018</v>
      </c>
      <c r="J43" s="2">
        <v>2019</v>
      </c>
      <c r="K43" s="2">
        <v>2020</v>
      </c>
      <c r="L43" s="2">
        <v>2022</v>
      </c>
      <c r="M43" s="2">
        <v>2023</v>
      </c>
    </row>
    <row r="44" spans="1:14" x14ac:dyDescent="0.3">
      <c r="A44" s="104"/>
      <c r="C44" s="59"/>
      <c r="D44" s="3" t="s">
        <v>36</v>
      </c>
      <c r="E44" s="4">
        <v>177</v>
      </c>
      <c r="F44" s="4">
        <v>358</v>
      </c>
      <c r="G44" s="4">
        <v>382</v>
      </c>
      <c r="H44" s="4">
        <v>351</v>
      </c>
      <c r="I44" s="4">
        <v>422</v>
      </c>
      <c r="J44" s="4">
        <v>619</v>
      </c>
      <c r="K44" s="4">
        <v>463</v>
      </c>
      <c r="L44" s="4">
        <v>648</v>
      </c>
      <c r="M44" s="4">
        <v>597</v>
      </c>
    </row>
    <row r="45" spans="1:14" x14ac:dyDescent="0.3">
      <c r="A45" s="104"/>
      <c r="C45" s="59"/>
      <c r="D45" s="60"/>
      <c r="E45" s="59"/>
      <c r="F45" s="59"/>
      <c r="G45" s="59"/>
      <c r="H45" s="59"/>
      <c r="I45" s="59"/>
      <c r="L45" s="59"/>
      <c r="M45" s="59"/>
    </row>
    <row r="46" spans="1:14" x14ac:dyDescent="0.3">
      <c r="A46" s="104"/>
      <c r="C46" s="59"/>
      <c r="D46"/>
      <c r="E46" s="2">
        <v>2010</v>
      </c>
      <c r="F46" s="2">
        <v>2012</v>
      </c>
      <c r="G46" s="2">
        <v>2014</v>
      </c>
      <c r="H46" s="2">
        <v>2016</v>
      </c>
      <c r="I46" s="2">
        <v>2018</v>
      </c>
      <c r="J46" s="2">
        <v>2019</v>
      </c>
      <c r="K46" s="2">
        <v>2020</v>
      </c>
      <c r="L46" s="2">
        <v>2022</v>
      </c>
      <c r="M46" s="2">
        <v>2023</v>
      </c>
    </row>
    <row r="47" spans="1:14" ht="15" customHeight="1" x14ac:dyDescent="0.3">
      <c r="A47" s="104"/>
      <c r="C47" s="107" t="s">
        <v>39</v>
      </c>
      <c r="D47" s="16" t="s">
        <v>23</v>
      </c>
      <c r="E47" s="28">
        <v>2.5370600000000003</v>
      </c>
      <c r="F47" s="28">
        <v>2.8211500000000007</v>
      </c>
      <c r="G47" s="28">
        <v>3.0632700000000002</v>
      </c>
      <c r="H47" s="28">
        <v>3.5</v>
      </c>
      <c r="I47" s="28">
        <v>3.2258499999999994</v>
      </c>
      <c r="J47" s="28">
        <v>3.512080000000001</v>
      </c>
      <c r="K47" s="28">
        <v>3.5283200000000012</v>
      </c>
      <c r="L47" s="28">
        <v>4.5197000000000003</v>
      </c>
      <c r="M47" s="28">
        <v>4.8740000000000041</v>
      </c>
    </row>
    <row r="48" spans="1:14" x14ac:dyDescent="0.3">
      <c r="A48" s="104"/>
      <c r="C48" s="107"/>
      <c r="D48" s="17" t="s">
        <v>24</v>
      </c>
      <c r="E48" s="33">
        <v>1.5632999999999999</v>
      </c>
      <c r="F48" s="33">
        <v>1.6661250000000001</v>
      </c>
      <c r="G48" s="33">
        <v>1.8290249999999999</v>
      </c>
      <c r="H48" s="33">
        <v>2</v>
      </c>
      <c r="I48" s="33">
        <v>2.0552000000000001</v>
      </c>
      <c r="J48" s="33">
        <v>2.0456000000000003</v>
      </c>
      <c r="K48" s="33">
        <v>2.3371</v>
      </c>
      <c r="L48" s="33">
        <v>2.7822499999999999</v>
      </c>
      <c r="M48" s="33">
        <v>3.0455000000000001</v>
      </c>
    </row>
    <row r="49" spans="1:13" x14ac:dyDescent="0.3">
      <c r="A49" s="104"/>
      <c r="C49" s="107"/>
      <c r="D49" s="16" t="s">
        <v>25</v>
      </c>
      <c r="E49" s="34">
        <v>1.3327413082538875</v>
      </c>
      <c r="F49" s="34">
        <v>1.611296865829914</v>
      </c>
      <c r="G49" s="34">
        <v>1.6787129523296829</v>
      </c>
      <c r="H49" s="34">
        <v>1.8</v>
      </c>
      <c r="I49" s="34">
        <v>1.770293322872162</v>
      </c>
      <c r="J49" s="34">
        <v>1.8053690962328748</v>
      </c>
      <c r="K49" s="34">
        <v>1.9314982522571889</v>
      </c>
      <c r="L49" s="34">
        <v>2.0672512233972302</v>
      </c>
      <c r="M49" s="34">
        <v>2.311280474424358</v>
      </c>
    </row>
    <row r="50" spans="1:13" ht="18" customHeight="1" x14ac:dyDescent="0.3">
      <c r="A50" s="104"/>
      <c r="C50" s="107"/>
      <c r="D50" s="16" t="s">
        <v>26</v>
      </c>
      <c r="E50" s="34">
        <v>0.94420000000000004</v>
      </c>
      <c r="F50" s="34">
        <v>1.0823499999999999</v>
      </c>
      <c r="G50" s="34">
        <v>1.1473499999999999</v>
      </c>
      <c r="H50" s="34">
        <v>1.1718999999999999</v>
      </c>
      <c r="I50" s="34">
        <v>1.1000000000000001</v>
      </c>
      <c r="J50" s="34">
        <v>1.2</v>
      </c>
      <c r="K50" s="34">
        <v>1.3826000000000001</v>
      </c>
      <c r="L50" s="34">
        <v>1.756</v>
      </c>
      <c r="M50" s="34">
        <v>1.8879999999999999</v>
      </c>
    </row>
    <row r="51" spans="1:13" x14ac:dyDescent="0.3">
      <c r="A51" s="104"/>
      <c r="C51" s="107"/>
      <c r="D51" s="17" t="s">
        <v>27</v>
      </c>
      <c r="E51" s="75">
        <v>0.51559999999999995</v>
      </c>
      <c r="F51" s="75">
        <v>0.66289999999999993</v>
      </c>
      <c r="G51" s="75">
        <v>0.66852500000000004</v>
      </c>
      <c r="H51" s="75">
        <v>0.7</v>
      </c>
      <c r="I51" s="75">
        <v>0.675875</v>
      </c>
      <c r="J51" s="75">
        <v>0.67425000000000002</v>
      </c>
      <c r="K51" s="75">
        <v>0.87829999999999997</v>
      </c>
      <c r="L51" s="75">
        <v>1.0972500000000001</v>
      </c>
      <c r="M51" s="75">
        <v>1.25</v>
      </c>
    </row>
    <row r="52" spans="1:13" x14ac:dyDescent="0.3">
      <c r="A52" s="104"/>
      <c r="C52" s="107"/>
      <c r="D52" s="16" t="s">
        <v>28</v>
      </c>
      <c r="E52" s="28">
        <v>0.26401999999999998</v>
      </c>
      <c r="F52" s="28">
        <v>0.29837000000000002</v>
      </c>
      <c r="G52" s="28">
        <v>0.28367999999999999</v>
      </c>
      <c r="H52" s="28">
        <v>0.3</v>
      </c>
      <c r="I52" s="28">
        <v>0.24953000000000006</v>
      </c>
      <c r="J52" s="28">
        <v>0.29671999999999998</v>
      </c>
      <c r="K52" s="28">
        <v>0.47114</v>
      </c>
      <c r="L52" s="28">
        <v>0.61140000000000005</v>
      </c>
      <c r="M52" s="28">
        <v>0.77580000000000005</v>
      </c>
    </row>
    <row r="53" spans="1:13" x14ac:dyDescent="0.3">
      <c r="A53" s="104"/>
      <c r="C53" s="59"/>
      <c r="D53" s="60"/>
      <c r="E53" s="59"/>
      <c r="F53" s="59"/>
      <c r="G53" s="59"/>
      <c r="H53" s="59"/>
      <c r="I53" s="59"/>
      <c r="J53" s="59"/>
      <c r="K53" s="59"/>
    </row>
    <row r="54" spans="1:13" x14ac:dyDescent="0.3">
      <c r="A54" s="104"/>
      <c r="C54" s="59"/>
      <c r="D54" s="60"/>
      <c r="E54" s="59"/>
      <c r="F54" s="59"/>
      <c r="G54" s="59"/>
      <c r="H54" s="59"/>
      <c r="I54" s="59"/>
      <c r="J54" s="59"/>
      <c r="K54" s="59"/>
    </row>
    <row r="55" spans="1:13" ht="18" x14ac:dyDescent="0.35">
      <c r="A55" s="104"/>
      <c r="C55" s="81" t="str">
        <f>D8</f>
        <v>Évolution - Évolution du coût aidé HT des papiers et emballages hors verre entre 2010 et 2023</v>
      </c>
      <c r="D55" s="81"/>
      <c r="E55" s="81"/>
      <c r="F55" s="81"/>
      <c r="G55" s="81"/>
      <c r="H55" s="81"/>
      <c r="I55" s="81"/>
      <c r="J55" s="81"/>
      <c r="K55" s="81"/>
      <c r="L55" s="81"/>
      <c r="M55" s="81"/>
    </row>
    <row r="56" spans="1:13" x14ac:dyDescent="0.3">
      <c r="A56" s="104"/>
      <c r="C56" s="106" t="s">
        <v>35</v>
      </c>
      <c r="D56" s="106"/>
      <c r="E56" s="59"/>
      <c r="F56" s="59"/>
      <c r="G56" s="59"/>
      <c r="H56" s="59"/>
      <c r="I56" s="59"/>
      <c r="J56" s="59"/>
      <c r="K56" s="59"/>
    </row>
    <row r="57" spans="1:13" x14ac:dyDescent="0.3">
      <c r="A57" s="104"/>
      <c r="C57" s="59"/>
      <c r="D57" s="59"/>
      <c r="E57" s="2">
        <v>2010</v>
      </c>
      <c r="F57" s="2">
        <v>2012</v>
      </c>
      <c r="G57" s="2">
        <v>2014</v>
      </c>
      <c r="H57" s="2">
        <v>2016</v>
      </c>
      <c r="I57" s="2">
        <v>2018</v>
      </c>
      <c r="J57" s="2">
        <v>2019</v>
      </c>
      <c r="K57" s="2">
        <v>2020</v>
      </c>
      <c r="L57" s="2">
        <v>2022</v>
      </c>
      <c r="M57" s="2">
        <v>2023</v>
      </c>
    </row>
    <row r="58" spans="1:13" x14ac:dyDescent="0.3">
      <c r="A58" s="104"/>
      <c r="D58" s="3" t="s">
        <v>36</v>
      </c>
      <c r="E58" s="4">
        <v>177</v>
      </c>
      <c r="F58" s="4">
        <v>358</v>
      </c>
      <c r="G58" s="4">
        <v>382</v>
      </c>
      <c r="H58" s="4">
        <v>351</v>
      </c>
      <c r="I58" s="4">
        <v>422</v>
      </c>
      <c r="J58" s="4">
        <v>619</v>
      </c>
      <c r="K58" s="4">
        <v>463</v>
      </c>
      <c r="L58" s="4">
        <v>648</v>
      </c>
      <c r="M58" s="4">
        <v>597</v>
      </c>
    </row>
    <row r="59" spans="1:13" x14ac:dyDescent="0.3">
      <c r="A59" s="104"/>
      <c r="C59" s="59"/>
      <c r="D59" s="60"/>
      <c r="E59" s="59"/>
      <c r="F59" s="59"/>
      <c r="G59" s="59"/>
      <c r="H59" s="59"/>
      <c r="I59" s="59"/>
      <c r="L59" s="59"/>
      <c r="M59" s="59"/>
    </row>
    <row r="60" spans="1:13" x14ac:dyDescent="0.3">
      <c r="A60" s="104"/>
      <c r="C60" s="59"/>
      <c r="D60"/>
      <c r="E60" s="2">
        <v>2010</v>
      </c>
      <c r="F60" s="2">
        <v>2012</v>
      </c>
      <c r="G60" s="2">
        <v>2014</v>
      </c>
      <c r="H60" s="2">
        <v>2016</v>
      </c>
      <c r="I60" s="2">
        <v>2018</v>
      </c>
      <c r="J60" s="2">
        <v>2019</v>
      </c>
      <c r="K60" s="2">
        <v>2020</v>
      </c>
      <c r="L60" s="2">
        <v>2022</v>
      </c>
      <c r="M60" s="2">
        <v>2023</v>
      </c>
    </row>
    <row r="61" spans="1:13" ht="15" customHeight="1" x14ac:dyDescent="0.3">
      <c r="A61" s="104"/>
      <c r="C61" s="107" t="s">
        <v>39</v>
      </c>
      <c r="D61" s="16" t="s">
        <v>23</v>
      </c>
      <c r="E61" s="28">
        <v>14.672639999999999</v>
      </c>
      <c r="F61" s="28">
        <v>13.176820000000001</v>
      </c>
      <c r="G61" s="28">
        <v>13.6546</v>
      </c>
      <c r="H61" s="28">
        <v>17.899999999999999</v>
      </c>
      <c r="I61" s="28">
        <v>18.880179999999989</v>
      </c>
      <c r="J61" s="28">
        <v>21.509700000000002</v>
      </c>
      <c r="K61" s="28">
        <v>22.788460000000001</v>
      </c>
      <c r="L61" s="28">
        <v>23.258600000000005</v>
      </c>
      <c r="M61" s="28">
        <v>28.038400000000003</v>
      </c>
    </row>
    <row r="62" spans="1:13" x14ac:dyDescent="0.3">
      <c r="A62" s="104"/>
      <c r="C62" s="107"/>
      <c r="D62" s="17" t="s">
        <v>24</v>
      </c>
      <c r="E62" s="33">
        <v>12.039400000000001</v>
      </c>
      <c r="F62" s="33">
        <v>8.770975</v>
      </c>
      <c r="G62" s="33">
        <v>10.19755</v>
      </c>
      <c r="H62" s="33">
        <v>12.4</v>
      </c>
      <c r="I62" s="33">
        <v>12.97775</v>
      </c>
      <c r="J62" s="33">
        <v>16.152349999999998</v>
      </c>
      <c r="K62" s="33">
        <v>17.7255</v>
      </c>
      <c r="L62" s="33">
        <v>16.298249999999999</v>
      </c>
      <c r="M62" s="33">
        <v>20.821999999999999</v>
      </c>
    </row>
    <row r="63" spans="1:13" x14ac:dyDescent="0.3">
      <c r="A63" s="104"/>
      <c r="C63" s="107"/>
      <c r="D63" s="16" t="s">
        <v>25</v>
      </c>
      <c r="E63" s="34">
        <v>9.8332856059832956</v>
      </c>
      <c r="F63" s="34">
        <v>8.4373667555107517</v>
      </c>
      <c r="G63" s="34">
        <v>8.8696326113734578</v>
      </c>
      <c r="H63" s="34">
        <v>9.8000000000000007</v>
      </c>
      <c r="I63" s="34">
        <v>11.128470838435209</v>
      </c>
      <c r="J63" s="34">
        <v>12.464666014915942</v>
      </c>
      <c r="K63" s="34">
        <v>13.885707731169019</v>
      </c>
      <c r="L63" s="34">
        <v>11.944130360709233</v>
      </c>
      <c r="M63" s="34">
        <v>16.47560088067041</v>
      </c>
    </row>
    <row r="64" spans="1:13" ht="17.399999999999999" customHeight="1" x14ac:dyDescent="0.3">
      <c r="A64" s="104"/>
      <c r="C64" s="107"/>
      <c r="D64" s="16" t="s">
        <v>26</v>
      </c>
      <c r="E64" s="34">
        <v>7.7671999999999999</v>
      </c>
      <c r="F64" s="34">
        <v>4.2158499999999997</v>
      </c>
      <c r="G64" s="34">
        <v>4.9450000000000003</v>
      </c>
      <c r="H64" s="34">
        <v>7.0057999999999998</v>
      </c>
      <c r="I64" s="34">
        <v>8.4</v>
      </c>
      <c r="J64" s="34">
        <v>10.5</v>
      </c>
      <c r="K64" s="34">
        <v>12.0702</v>
      </c>
      <c r="L64" s="34">
        <v>10.179500000000001</v>
      </c>
      <c r="M64" s="34">
        <v>15.015000000000001</v>
      </c>
    </row>
    <row r="65" spans="1:13" x14ac:dyDescent="0.3">
      <c r="A65" s="104"/>
      <c r="C65" s="107"/>
      <c r="D65" s="17" t="s">
        <v>27</v>
      </c>
      <c r="E65" s="75">
        <v>3.4855999999999998</v>
      </c>
      <c r="F65" s="75">
        <v>0.55362500000000003</v>
      </c>
      <c r="G65" s="75">
        <v>1.5836250000000001</v>
      </c>
      <c r="H65" s="75">
        <v>2.9</v>
      </c>
      <c r="I65" s="75">
        <v>4.4562249999999999</v>
      </c>
      <c r="J65" s="75">
        <v>5.1574500000000008</v>
      </c>
      <c r="K65" s="75">
        <v>7.5172999999999996</v>
      </c>
      <c r="L65" s="75">
        <v>5.46075</v>
      </c>
      <c r="M65" s="75">
        <v>10.102</v>
      </c>
    </row>
    <row r="66" spans="1:13" x14ac:dyDescent="0.3">
      <c r="A66" s="104"/>
      <c r="C66" s="107"/>
      <c r="D66" s="16" t="s">
        <v>28</v>
      </c>
      <c r="E66" s="28">
        <v>1.4053</v>
      </c>
      <c r="F66" s="28">
        <v>-2.2221999999999995</v>
      </c>
      <c r="G66" s="28">
        <v>-0.57835999999999976</v>
      </c>
      <c r="H66" s="28">
        <v>0.1</v>
      </c>
      <c r="I66" s="28">
        <v>0.86786000000000063</v>
      </c>
      <c r="J66" s="28">
        <v>1.9430800000000001</v>
      </c>
      <c r="K66" s="28">
        <v>4.2631200000000007</v>
      </c>
      <c r="L66" s="28">
        <v>1.8243</v>
      </c>
      <c r="M66" s="28">
        <v>6.6434000000000006</v>
      </c>
    </row>
    <row r="67" spans="1:13" x14ac:dyDescent="0.3">
      <c r="A67" s="104"/>
      <c r="C67" s="59"/>
      <c r="D67" s="60"/>
      <c r="E67" s="59"/>
      <c r="F67" s="59"/>
      <c r="G67" s="59"/>
      <c r="H67" s="59"/>
      <c r="I67" s="59"/>
      <c r="J67" s="59"/>
      <c r="K67" s="59"/>
    </row>
    <row r="68" spans="1:13" x14ac:dyDescent="0.3">
      <c r="A68" s="104"/>
      <c r="C68" s="59"/>
      <c r="D68" s="60"/>
      <c r="E68" s="59"/>
      <c r="F68" s="59"/>
      <c r="G68" s="59"/>
      <c r="H68" s="59"/>
      <c r="I68" s="59"/>
      <c r="J68" s="59"/>
      <c r="K68" s="59"/>
    </row>
    <row r="69" spans="1:13" ht="18" x14ac:dyDescent="0.35">
      <c r="A69" s="104"/>
      <c r="C69" s="81" t="str">
        <f>D9</f>
        <v>Évolution - Évolution du coût aidé HT des déchèteries entre 2010 et 2023</v>
      </c>
      <c r="D69" s="81"/>
      <c r="E69" s="81"/>
      <c r="F69" s="81"/>
      <c r="G69" s="81"/>
      <c r="H69" s="81"/>
      <c r="I69" s="81"/>
      <c r="J69" s="81"/>
      <c r="K69" s="81"/>
      <c r="L69" s="81"/>
      <c r="M69" s="81"/>
    </row>
    <row r="70" spans="1:13" x14ac:dyDescent="0.3">
      <c r="A70" s="104"/>
      <c r="C70" s="106" t="s">
        <v>35</v>
      </c>
      <c r="D70" s="106"/>
      <c r="E70" s="59"/>
      <c r="F70" s="59"/>
      <c r="G70" s="59"/>
      <c r="H70" s="59"/>
      <c r="I70" s="59"/>
      <c r="J70" s="59"/>
      <c r="K70" s="59"/>
    </row>
    <row r="71" spans="1:13" x14ac:dyDescent="0.3">
      <c r="A71" s="104"/>
      <c r="C71" s="59"/>
      <c r="D71" s="59"/>
      <c r="E71" s="2">
        <v>2010</v>
      </c>
      <c r="F71" s="2">
        <v>2012</v>
      </c>
      <c r="G71" s="2">
        <v>2014</v>
      </c>
      <c r="H71" s="2">
        <v>2016</v>
      </c>
      <c r="I71" s="2">
        <v>2018</v>
      </c>
      <c r="J71" s="2">
        <v>2019</v>
      </c>
      <c r="K71" s="2">
        <v>2020</v>
      </c>
      <c r="L71" s="2">
        <v>2022</v>
      </c>
      <c r="M71" s="2">
        <v>2023</v>
      </c>
    </row>
    <row r="72" spans="1:13" x14ac:dyDescent="0.3">
      <c r="A72" s="104"/>
      <c r="C72" s="59"/>
      <c r="D72" s="3" t="s">
        <v>36</v>
      </c>
      <c r="E72" s="4">
        <v>177</v>
      </c>
      <c r="F72" s="4">
        <v>358</v>
      </c>
      <c r="G72" s="4">
        <v>382</v>
      </c>
      <c r="H72" s="4">
        <v>351</v>
      </c>
      <c r="I72" s="4">
        <v>422</v>
      </c>
      <c r="J72" s="4">
        <v>619</v>
      </c>
      <c r="K72" s="4">
        <v>463</v>
      </c>
      <c r="L72" s="4">
        <v>648</v>
      </c>
      <c r="M72" s="4">
        <v>597</v>
      </c>
    </row>
    <row r="73" spans="1:13" x14ac:dyDescent="0.3">
      <c r="A73" s="104"/>
      <c r="C73" s="59"/>
      <c r="D73" s="60"/>
      <c r="E73" s="59"/>
      <c r="F73" s="59"/>
      <c r="G73" s="59"/>
      <c r="H73" s="59"/>
      <c r="I73" s="59"/>
      <c r="J73" s="59"/>
      <c r="K73" s="59"/>
      <c r="L73" s="59"/>
      <c r="M73" s="59"/>
    </row>
    <row r="74" spans="1:13" x14ac:dyDescent="0.3">
      <c r="A74" s="104"/>
      <c r="C74" s="59"/>
      <c r="D74"/>
      <c r="E74" s="2">
        <v>2010</v>
      </c>
      <c r="F74" s="2">
        <v>2012</v>
      </c>
      <c r="G74" s="2">
        <v>2014</v>
      </c>
      <c r="H74" s="2">
        <v>2016</v>
      </c>
      <c r="I74" s="2">
        <v>2018</v>
      </c>
      <c r="J74" s="2">
        <v>2019</v>
      </c>
      <c r="K74" s="2">
        <v>2020</v>
      </c>
      <c r="L74" s="2">
        <v>2022</v>
      </c>
      <c r="M74" s="2">
        <v>2023</v>
      </c>
    </row>
    <row r="75" spans="1:13" ht="15" customHeight="1" x14ac:dyDescent="0.3">
      <c r="A75" s="104"/>
      <c r="C75" s="107" t="s">
        <v>39</v>
      </c>
      <c r="D75" s="16" t="s">
        <v>23</v>
      </c>
      <c r="E75" s="28">
        <v>29.754860000000004</v>
      </c>
      <c r="F75" s="28">
        <v>34.706630000000004</v>
      </c>
      <c r="G75" s="28">
        <v>34.820850000000036</v>
      </c>
      <c r="H75" s="28">
        <v>35.299999999999997</v>
      </c>
      <c r="I75" s="28">
        <v>38.069819999999993</v>
      </c>
      <c r="J75" s="28">
        <v>41.454580000000007</v>
      </c>
      <c r="K75" s="28">
        <v>41.420520000000003</v>
      </c>
      <c r="L75" s="28">
        <v>50.378100000000003</v>
      </c>
      <c r="M75" s="28">
        <v>54.514400000000002</v>
      </c>
    </row>
    <row r="76" spans="1:13" x14ac:dyDescent="0.3">
      <c r="A76" s="104"/>
      <c r="C76" s="107"/>
      <c r="D76" s="17" t="s">
        <v>24</v>
      </c>
      <c r="E76" s="33">
        <v>23.672499999999999</v>
      </c>
      <c r="F76" s="33">
        <v>26.590250000000001</v>
      </c>
      <c r="G76" s="33">
        <v>27.901</v>
      </c>
      <c r="H76" s="33">
        <v>29</v>
      </c>
      <c r="I76" s="33">
        <v>29.832875000000001</v>
      </c>
      <c r="J76" s="33">
        <v>33.584699999999998</v>
      </c>
      <c r="K76" s="33">
        <v>33.551299999999998</v>
      </c>
      <c r="L76" s="33">
        <v>40.636000000000003</v>
      </c>
      <c r="M76" s="33">
        <v>43.725999999999999</v>
      </c>
    </row>
    <row r="77" spans="1:13" x14ac:dyDescent="0.3">
      <c r="A77" s="104"/>
      <c r="C77" s="107"/>
      <c r="D77" s="16" t="s">
        <v>25</v>
      </c>
      <c r="E77" s="34">
        <v>18.308058181678522</v>
      </c>
      <c r="F77" s="34">
        <v>19.406839694085132</v>
      </c>
      <c r="G77" s="34">
        <v>19.668467562277357</v>
      </c>
      <c r="H77" s="34">
        <v>20.7</v>
      </c>
      <c r="I77" s="34">
        <v>22.395743241288738</v>
      </c>
      <c r="J77" s="34">
        <v>24.548360133586694</v>
      </c>
      <c r="K77" s="34">
        <v>24.786079442109539</v>
      </c>
      <c r="L77" s="34">
        <v>27.915409663914055</v>
      </c>
      <c r="M77" s="34">
        <v>31.041736738742877</v>
      </c>
    </row>
    <row r="78" spans="1:13" ht="17.399999999999999" customHeight="1" x14ac:dyDescent="0.3">
      <c r="A78" s="104"/>
      <c r="C78" s="107"/>
      <c r="D78" s="16" t="s">
        <v>26</v>
      </c>
      <c r="E78" s="34">
        <v>18.563800000000001</v>
      </c>
      <c r="F78" s="34">
        <v>21.6129</v>
      </c>
      <c r="G78" s="34">
        <v>22.9651</v>
      </c>
      <c r="H78" s="34">
        <v>22.697500000000002</v>
      </c>
      <c r="I78" s="34">
        <v>24.8</v>
      </c>
      <c r="J78" s="34">
        <v>27.5</v>
      </c>
      <c r="K78" s="34">
        <v>27.446200000000001</v>
      </c>
      <c r="L78" s="34">
        <v>33.099499999999999</v>
      </c>
      <c r="M78" s="34">
        <v>35.511000000000003</v>
      </c>
    </row>
    <row r="79" spans="1:13" x14ac:dyDescent="0.3">
      <c r="A79" s="104"/>
      <c r="C79" s="107"/>
      <c r="D79" s="17" t="s">
        <v>27</v>
      </c>
      <c r="E79" s="75">
        <v>15.2567</v>
      </c>
      <c r="F79" s="75">
        <v>16.763400000000001</v>
      </c>
      <c r="G79" s="75">
        <v>18.660924999999999</v>
      </c>
      <c r="H79" s="75">
        <v>19</v>
      </c>
      <c r="I79" s="75">
        <v>19.750824999999999</v>
      </c>
      <c r="J79" s="75">
        <v>22.208600000000001</v>
      </c>
      <c r="K79" s="75">
        <v>22.497299999999999</v>
      </c>
      <c r="L79" s="75">
        <v>26.567499999999999</v>
      </c>
      <c r="M79" s="75">
        <v>28.810000000000002</v>
      </c>
    </row>
    <row r="80" spans="1:13" x14ac:dyDescent="0.3">
      <c r="A80" s="104"/>
      <c r="C80" s="107"/>
      <c r="D80" s="16" t="s">
        <v>28</v>
      </c>
      <c r="E80" s="28">
        <v>12.303879999999999</v>
      </c>
      <c r="F80" s="28">
        <v>13.644540000000001</v>
      </c>
      <c r="G80" s="28">
        <v>14.023200000000001</v>
      </c>
      <c r="H80" s="28">
        <v>13.7</v>
      </c>
      <c r="I80" s="28">
        <v>15.39588</v>
      </c>
      <c r="J80" s="28">
        <v>17.577340000000003</v>
      </c>
      <c r="K80" s="28">
        <v>17.686600000000002</v>
      </c>
      <c r="L80" s="28">
        <v>20.61</v>
      </c>
      <c r="M80" s="28">
        <v>23.4938</v>
      </c>
    </row>
    <row r="81" spans="1:11" x14ac:dyDescent="0.3">
      <c r="A81" s="104"/>
      <c r="C81" s="59"/>
      <c r="D81" s="60"/>
      <c r="E81" s="59"/>
      <c r="F81" s="59"/>
      <c r="G81" s="59"/>
      <c r="H81" s="59"/>
      <c r="I81" s="59"/>
      <c r="J81" s="59"/>
      <c r="K81" s="59"/>
    </row>
    <row r="82" spans="1:11" x14ac:dyDescent="0.3">
      <c r="A82" s="104"/>
      <c r="C82" s="59"/>
      <c r="D82" s="60"/>
      <c r="E82" s="59"/>
      <c r="F82" s="59"/>
      <c r="G82" s="59"/>
      <c r="H82" s="59"/>
      <c r="I82" s="59"/>
      <c r="J82" s="59"/>
      <c r="K82" s="59"/>
    </row>
    <row r="83" spans="1:11" x14ac:dyDescent="0.3">
      <c r="E83" s="1"/>
      <c r="F83" s="1"/>
      <c r="G83" s="1"/>
      <c r="H83" s="1"/>
      <c r="J83" s="59"/>
      <c r="K83" s="59"/>
    </row>
    <row r="84" spans="1:11" x14ac:dyDescent="0.3">
      <c r="E84" s="1"/>
      <c r="F84" s="1"/>
      <c r="G84" s="1"/>
      <c r="H84" s="1"/>
    </row>
    <row r="85" spans="1:11" x14ac:dyDescent="0.3">
      <c r="E85" s="1"/>
      <c r="F85" s="1"/>
      <c r="G85" s="1"/>
      <c r="H85" s="1"/>
    </row>
    <row r="86" spans="1:11" x14ac:dyDescent="0.3">
      <c r="E86" s="1"/>
      <c r="F86" s="1"/>
      <c r="G86" s="1"/>
      <c r="H86" s="1"/>
    </row>
    <row r="87" spans="1:11" x14ac:dyDescent="0.3">
      <c r="E87" s="1"/>
      <c r="F87" s="1"/>
      <c r="G87" s="1"/>
      <c r="H87" s="1"/>
    </row>
    <row r="88" spans="1:11" x14ac:dyDescent="0.3">
      <c r="E88" s="1"/>
      <c r="F88" s="1"/>
      <c r="G88" s="1"/>
      <c r="H88" s="1"/>
    </row>
  </sheetData>
  <sheetProtection sheet="1" formatCells="0" formatColumns="0" insertColumns="0" insertRows="0" insertHyperlinks="0" deleteColumns="0" deleteRows="0" sort="0" autoFilter="0" pivotTables="0"/>
  <mergeCells count="25">
    <mergeCell ref="C69:M69"/>
    <mergeCell ref="A69:A82"/>
    <mergeCell ref="A55:A68"/>
    <mergeCell ref="A41:A54"/>
    <mergeCell ref="C47:C52"/>
    <mergeCell ref="C61:C66"/>
    <mergeCell ref="C75:C80"/>
    <mergeCell ref="C70:D70"/>
    <mergeCell ref="C56:D56"/>
    <mergeCell ref="C42:D42"/>
    <mergeCell ref="D9:K9"/>
    <mergeCell ref="C13:M13"/>
    <mergeCell ref="C1:M1"/>
    <mergeCell ref="C41:M41"/>
    <mergeCell ref="C55:M55"/>
    <mergeCell ref="D2:K2"/>
    <mergeCell ref="D5:K5"/>
    <mergeCell ref="D6:K6"/>
    <mergeCell ref="D7:K7"/>
    <mergeCell ref="D8:K8"/>
    <mergeCell ref="C28:D28"/>
    <mergeCell ref="C33:C38"/>
    <mergeCell ref="C27:M27"/>
    <mergeCell ref="C19:C24"/>
    <mergeCell ref="C14:D14"/>
  </mergeCells>
  <hyperlinks>
    <hyperlink ref="D5" location="Evolution!A13" display="Evolution!A13" xr:uid="{00000000-0004-0000-0800-000000000000}"/>
    <hyperlink ref="D2" location="Sommaire!A1" display="Retour sommaire annexe" xr:uid="{00000000-0004-0000-0800-000001000000}"/>
    <hyperlink ref="C14" location="Evolution!A1" display="Retour sommaire fiche" xr:uid="{00000000-0004-0000-0800-000002000000}"/>
    <hyperlink ref="D6:D9" location="OMR!A19" display="OMR!A19" xr:uid="{00000000-0004-0000-0800-000007000000}"/>
    <hyperlink ref="D6" location="Evolution!A26" display="Evolution!A26" xr:uid="{00000000-0004-0000-0800-000008000000}"/>
    <hyperlink ref="D7" location="Evolution!A39" display="Evolution!A39" xr:uid="{00000000-0004-0000-0800-000009000000}"/>
    <hyperlink ref="D8" location="Evolution!A52" display="Evolution!A52" xr:uid="{00000000-0004-0000-0800-00000A000000}"/>
    <hyperlink ref="D9" location="Evolution!A65" display="Evolution!A65" xr:uid="{00000000-0004-0000-0800-00000B000000}"/>
    <hyperlink ref="D5:K5" location="Évolution!A13" display="Évolution - Évolution du coût aidé HT tous flux entre 2010 et 2023" xr:uid="{94E36AA0-F66E-44CE-B255-06BD93C29F7E}"/>
    <hyperlink ref="D6:K6" location="Évolution!A27" display="Évolution - Évolution du coût aidé HT des OMR entre 2010 et 2023" xr:uid="{895EE98C-834D-4EDC-AB76-25CB1E246E58}"/>
    <hyperlink ref="D7:K7" location="Évolution!A41" display="Évolution - Évolution du coût aidé HT des emballages en verre entre 2010 et 2023" xr:uid="{1D879021-BB2D-440D-A832-BD771AFF3737}"/>
    <hyperlink ref="D8:K8" location="Évolution!A55" display="Évolution - Évolution du coût aidé HT des papiers et emballages hors verre entre 2010 et 2023" xr:uid="{7753AD53-B1D5-450A-880B-1D0B1307D676}"/>
    <hyperlink ref="D9:K9" location="Évolution!A69" display="Évolution - Évolution du coût aidé HT des déchèteries entre 2010 et 2023" xr:uid="{C3D8A8DA-B04E-4934-A6CB-A2E400B3482C}"/>
    <hyperlink ref="C14:D14" location="Évolution!A1" display="Retour sommaire fiche" xr:uid="{12E97146-0ADB-4FC2-BC37-F33309788847}"/>
    <hyperlink ref="C28" location="Evolution!A1" display="Retour sommaire fiche" xr:uid="{1593E298-C871-41DD-8F96-1C9A00F26391}"/>
    <hyperlink ref="C28:D28" location="Évolution!A1" display="Retour sommaire fiche" xr:uid="{F00D0397-5E10-4529-9357-8F2472545936}"/>
    <hyperlink ref="C42" location="Evolution!A1" display="Retour sommaire fiche" xr:uid="{B283D8FA-F9D8-40CD-AE63-A47E1CA7AE10}"/>
    <hyperlink ref="C42:D42" location="Évolution!A1" display="Retour sommaire fiche" xr:uid="{0C3BFD8B-2CB6-43D2-A394-9F6118C303F8}"/>
    <hyperlink ref="C56" location="Evolution!A1" display="Retour sommaire fiche" xr:uid="{0AEC637B-A079-43CF-BCA4-FFF2BC97967C}"/>
    <hyperlink ref="C56:D56" location="Évolution!A1" display="Retour sommaire fiche" xr:uid="{43E1D9EC-F555-4078-A4E8-12F48AE115FE}"/>
    <hyperlink ref="C70" location="Evolution!A1" display="Retour sommaire fiche" xr:uid="{A0A37682-AE76-40DE-BAEB-FC16F1AE32A1}"/>
    <hyperlink ref="C70:D70" location="Évolution!A1" display="Retour sommaire fiche" xr:uid="{E85F6FA1-E89C-4235-9467-50F8930A35B9}"/>
  </hyperlinks>
  <pageMargins left="0.70866141732283472" right="0.70866141732283472" top="0.74803149606299213" bottom="0.74803149606299213" header="0.31496062992125984" footer="0.31496062992125984"/>
  <pageSetup paperSize="9" scale="59" fitToHeight="10" orientation="portrait" r:id="rId1"/>
  <rowBreaks count="1" manualBreakCount="1">
    <brk id="68" min="2" max="10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9E205BE14AB0489CD2B436C3E83582" ma:contentTypeVersion="11" ma:contentTypeDescription="Crée un document." ma:contentTypeScope="" ma:versionID="a34374c7fb515675c07c4cffcfaa170b">
  <xsd:schema xmlns:xsd="http://www.w3.org/2001/XMLSchema" xmlns:xs="http://www.w3.org/2001/XMLSchema" xmlns:p="http://schemas.microsoft.com/office/2006/metadata/properties" xmlns:ns2="5c46d077-fe6d-48d8-b1fa-f8c656cede54" xmlns:ns3="bc6d5153-5867-435c-a421-773ba3e21ea2" targetNamespace="http://schemas.microsoft.com/office/2006/metadata/properties" ma:root="true" ma:fieldsID="a42989d9983cdec71c7a1fffdfa24834" ns2:_="" ns3:_="">
    <xsd:import namespace="5c46d077-fe6d-48d8-b1fa-f8c656cede54"/>
    <xsd:import namespace="bc6d5153-5867-435c-a421-773ba3e21e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6d077-fe6d-48d8-b1fa-f8c656cede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ae5a9f-cdc8-42f8-b73c-0150a67e38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d5153-5867-435c-a421-773ba3e21ea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2a482c6-8fa1-4ad0-acae-1b3a23953827}" ma:internalName="TaxCatchAll" ma:showField="CatchAllData" ma:web="bc6d5153-5867-435c-a421-773ba3e21e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46d077-fe6d-48d8-b1fa-f8c656cede54">
      <Terms xmlns="http://schemas.microsoft.com/office/infopath/2007/PartnerControls"/>
    </lcf76f155ced4ddcb4097134ff3c332f>
    <TaxCatchAll xmlns="bc6d5153-5867-435c-a421-773ba3e21ea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E59BCD-40C0-4C78-B3AE-348DB4B487E3}"/>
</file>

<file path=customXml/itemProps2.xml><?xml version="1.0" encoding="utf-8"?>
<ds:datastoreItem xmlns:ds="http://schemas.openxmlformats.org/officeDocument/2006/customXml" ds:itemID="{091F66C4-6B3A-4D3A-82F6-493D7A497CE4}">
  <ds:schemaRefs>
    <ds:schemaRef ds:uri="http://purl.org/dc/elements/1.1/"/>
    <ds:schemaRef ds:uri="http://purl.org/dc/dcmitype/"/>
    <ds:schemaRef ds:uri="5c46d077-fe6d-48d8-b1fa-f8c656cede54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bc6d5153-5867-435c-a421-773ba3e21ea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AF6995B-40AD-4C85-8193-C2FEC4973C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8</vt:i4>
      </vt:variant>
    </vt:vector>
  </HeadingPairs>
  <TitlesOfParts>
    <vt:vector size="19" baseType="lpstr">
      <vt:lpstr>Sommaire</vt:lpstr>
      <vt:lpstr>Synthèse €hab.</vt:lpstr>
      <vt:lpstr>Synthèse €tonne</vt:lpstr>
      <vt:lpstr>Tous flux</vt:lpstr>
      <vt:lpstr>OMR</vt:lpstr>
      <vt:lpstr>Emb. Verre</vt:lpstr>
      <vt:lpstr>Papiers et Emb. HV</vt:lpstr>
      <vt:lpstr>Déchèteries</vt:lpstr>
      <vt:lpstr>Autres flux</vt:lpstr>
      <vt:lpstr>Tarif. Incitative</vt:lpstr>
      <vt:lpstr>Évolution</vt:lpstr>
      <vt:lpstr>filtre</vt:lpstr>
      <vt:lpstr>'Autres flux'!Zone_d_impression</vt:lpstr>
      <vt:lpstr>Déchèteries!Zone_d_impression</vt:lpstr>
      <vt:lpstr>'Emb. Verre'!Zone_d_impression</vt:lpstr>
      <vt:lpstr>Évolution!Zone_d_impression</vt:lpstr>
      <vt:lpstr>OMR!Zone_d_impression</vt:lpstr>
      <vt:lpstr>'Papiers et Emb. HV'!Zone_d_impression</vt:lpstr>
      <vt:lpstr>'Tarif. Incitative'!Zone_d_impression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Magali GASS (Awiplan)</dc:creator>
  <cp:keywords/>
  <dc:description/>
  <cp:lastModifiedBy>Magali Gass</cp:lastModifiedBy>
  <cp:revision/>
  <dcterms:created xsi:type="dcterms:W3CDTF">2018-11-09T09:41:42Z</dcterms:created>
  <dcterms:modified xsi:type="dcterms:W3CDTF">2025-10-27T09:15:59Z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0x010100CD9E205BE14AB0489CD2B436C3E83582</vt:lpwstr>
  </property>
  <property fmtid="{D5CDD505-2E9C-101B-9397-08002B2CF9AE}" pid="3" name="MediaServiceImageTags">
    <vt:lpwstr/>
  </property>
  <property fmtid="{D5CDD505-2E9C-101B-9397-08002B2CF9AE}" pid="4" name="Order">
    <vt:r8>76200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MSIP_Label_98ce3bfb-fff1-481a-835b-0a342757958d_Enabled">
    <vt:lpwstr>true</vt:lpwstr>
  </property>
  <property fmtid="{D5CDD505-2E9C-101B-9397-08002B2CF9AE}" pid="12" name="MSIP_Label_98ce3bfb-fff1-481a-835b-0a342757958d_SetDate">
    <vt:lpwstr>2025-10-24T15:00:32Z</vt:lpwstr>
  </property>
  <property fmtid="{D5CDD505-2E9C-101B-9397-08002B2CF9AE}" pid="13" name="MSIP_Label_98ce3bfb-fff1-481a-835b-0a342757958d_Method">
    <vt:lpwstr>Standard</vt:lpwstr>
  </property>
  <property fmtid="{D5CDD505-2E9C-101B-9397-08002B2CF9AE}" pid="14" name="MSIP_Label_98ce3bfb-fff1-481a-835b-0a342757958d_Name">
    <vt:lpwstr>C0 - Public</vt:lpwstr>
  </property>
  <property fmtid="{D5CDD505-2E9C-101B-9397-08002B2CF9AE}" pid="15" name="MSIP_Label_98ce3bfb-fff1-481a-835b-0a342757958d_SiteId">
    <vt:lpwstr>cb6c2492-4a85-4b15-85a1-ed94d47e5849</vt:lpwstr>
  </property>
  <property fmtid="{D5CDD505-2E9C-101B-9397-08002B2CF9AE}" pid="16" name="MSIP_Label_98ce3bfb-fff1-481a-835b-0a342757958d_ActionId">
    <vt:lpwstr>f9775e10-5a48-44d6-ae3a-fb79892251a0</vt:lpwstr>
  </property>
  <property fmtid="{D5CDD505-2E9C-101B-9397-08002B2CF9AE}" pid="17" name="MSIP_Label_98ce3bfb-fff1-481a-835b-0a342757958d_ContentBits">
    <vt:lpwstr>0</vt:lpwstr>
  </property>
  <property fmtid="{D5CDD505-2E9C-101B-9397-08002B2CF9AE}" pid="18" name="MSIP_Label_98ce3bfb-fff1-481a-835b-0a342757958d_Tag">
    <vt:lpwstr>10, 3, 0, 1</vt:lpwstr>
  </property>
</Properties>
</file>