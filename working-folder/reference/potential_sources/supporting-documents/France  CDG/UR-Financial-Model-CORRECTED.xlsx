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0T-CORRIGE" sheetId="1" state="visible" r:id="rId1"/>
    <sheet name="200T-Luftanssa (2)" sheetId="2" state="visible" r:id="rId2"/>
    <sheet name="Copy of 200T-Luftanssa (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.00"/>
  </numFmts>
  <fonts count="6">
    <font>
      <name val="Arial"/>
      <color rgb="FF000000"/>
      <sz val="11"/>
      <scheme val="minor"/>
    </font>
    <font>
      <name val="Aptos narrow"/>
      <b val="1"/>
      <color theme="1"/>
      <sz val="14"/>
    </font>
    <font>
      <name val="Aptos narrow"/>
      <color theme="1"/>
      <sz val="11"/>
    </font>
    <font>
      <name val="Aptos narrow"/>
      <b val="1"/>
      <color theme="1"/>
      <sz val="11"/>
    </font>
    <font>
      <name val="Arial"/>
      <color theme="1"/>
    </font>
    <font>
      <b val="1"/>
      <sz val="11"/>
    </font>
  </fonts>
  <fills count="6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3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0" fontId="2" fillId="0" borderId="1" pivotButton="0" quotePrefix="0" xfId="0"/>
    <xf numFmtId="3" fontId="2" fillId="2" borderId="1" pivotButton="0" quotePrefix="0" xfId="0"/>
    <xf numFmtId="164" fontId="2" fillId="0" borderId="1" pivotButton="0" quotePrefix="0" xfId="0"/>
    <xf numFmtId="9" fontId="2" fillId="0" borderId="1" pivotButton="0" quotePrefix="0" xfId="0"/>
    <xf numFmtId="9" fontId="2" fillId="0" borderId="1" pivotButton="0" quotePrefix="0" xfId="0"/>
    <xf numFmtId="164" fontId="3" fillId="0" borderId="1" pivotButton="0" quotePrefix="0" xfId="0"/>
    <xf numFmtId="9" fontId="2" fillId="3" borderId="1" pivotButton="0" quotePrefix="0" xfId="0"/>
    <xf numFmtId="10" fontId="3" fillId="0" borderId="1" pivotButton="0" quotePrefix="0" xfId="0"/>
    <xf numFmtId="9" fontId="2" fillId="3" borderId="1" pivotButton="0" quotePrefix="0" xfId="0"/>
    <xf numFmtId="165" fontId="2" fillId="0" borderId="1" pivotButton="0" quotePrefix="0" xfId="0"/>
    <xf numFmtId="43" fontId="3" fillId="0" borderId="1" pivotButton="0" quotePrefix="0" xfId="0"/>
    <xf numFmtId="4" fontId="2" fillId="0" borderId="1" pivotButton="0" quotePrefix="0" xfId="0"/>
    <xf numFmtId="165" fontId="3" fillId="0" borderId="1" pivotButton="0" quotePrefix="0" xfId="0"/>
    <xf numFmtId="165" fontId="2" fillId="0" borderId="0" pivotButton="0" quotePrefix="0" xfId="0"/>
    <xf numFmtId="4" fontId="2" fillId="0" borderId="0" pivotButton="0" quotePrefix="0" xfId="0"/>
    <xf numFmtId="166" fontId="2" fillId="0" borderId="1" pivotButton="0" quotePrefix="0" xfId="0"/>
    <xf numFmtId="166" fontId="2" fillId="0" borderId="1" pivotButton="0" quotePrefix="0" xfId="0"/>
    <xf numFmtId="166" fontId="2" fillId="3" borderId="1" pivotButton="0" quotePrefix="0" xfId="0"/>
    <xf numFmtId="10" fontId="2" fillId="0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5" fillId="0" borderId="0" pivotButton="0" quotePrefix="0" xfId="0"/>
    <xf numFmtId="43" fontId="3" fillId="0" borderId="1" pivotButton="0" quotePrefix="0" xfId="0"/>
    <xf numFmtId="166" fontId="2" fillId="0" borderId="1" pivotButton="0" quotePrefix="0" xfId="0"/>
    <xf numFmtId="166" fontId="2" fillId="3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cols>
    <col width="35" customWidth="1" style="29" min="1" max="1"/>
    <col width="18" customWidth="1" style="29" min="2" max="2"/>
    <col width="30" customWidth="1" style="29" min="3" max="3"/>
  </cols>
  <sheetData>
    <row r="1">
      <c r="A1" s="1" t="inlineStr">
        <is>
          <t>Worksheet for 200MT UR in USD</t>
        </is>
      </c>
      <c r="B1" s="30" t="n"/>
    </row>
    <row r="2">
      <c r="A2" s="3" t="inlineStr">
        <is>
          <t>Machine Capacity (T)</t>
        </is>
      </c>
      <c r="B2" s="3" t="n">
        <v>200</v>
      </c>
    </row>
    <row r="3">
      <c r="A3" s="3" t="inlineStr">
        <is>
          <t>Investment/Financial</t>
        </is>
      </c>
      <c r="B3" s="30" t="n"/>
      <c r="D3" s="3" t="inlineStr">
        <is>
          <t>CAPEX</t>
        </is>
      </c>
      <c r="E3" s="3" t="inlineStr">
        <is>
          <t>Per Annum</t>
        </is>
      </c>
      <c r="F3" s="3" t="n"/>
      <c r="H3" s="3" t="inlineStr">
        <is>
          <t>Profit &amp; Loss</t>
        </is>
      </c>
      <c r="I3" s="3" t="inlineStr">
        <is>
          <t>Per Year</t>
        </is>
      </c>
      <c r="J3" s="3" t="inlineStr">
        <is>
          <t xml:space="preserve">Per Month </t>
        </is>
      </c>
    </row>
    <row r="4">
      <c r="A4" s="30" t="inlineStr">
        <is>
          <t>Machine cost</t>
        </is>
      </c>
      <c r="B4" s="30">
        <f>60000000*$B$2/200</f>
        <v/>
      </c>
      <c r="D4" s="30" t="inlineStr">
        <is>
          <t>UR machine price</t>
        </is>
      </c>
      <c r="E4" s="31">
        <f>+$B$4</f>
        <v/>
      </c>
      <c r="H4" s="30" t="inlineStr">
        <is>
          <t>Incomes Sources</t>
        </is>
      </c>
      <c r="I4" s="30">
        <f>+$E$28</f>
        <v/>
      </c>
      <c r="J4" s="30">
        <f>+I4/12</f>
        <v/>
      </c>
    </row>
    <row r="5">
      <c r="A5" s="30" t="inlineStr">
        <is>
          <t>Bank loan %</t>
        </is>
      </c>
      <c r="B5" s="30" t="n">
        <v>0.7</v>
      </c>
      <c r="D5" s="30" t="inlineStr">
        <is>
          <t>Installation</t>
        </is>
      </c>
      <c r="E5" s="30">
        <f>200000*$B$2/200</f>
        <v/>
      </c>
      <c r="H5" s="30" t="inlineStr">
        <is>
          <t>Capex (depreciation)</t>
        </is>
      </c>
      <c r="I5" s="30">
        <f>+$E$10/10</f>
        <v/>
      </c>
      <c r="J5" s="30">
        <f>+I5/12</f>
        <v/>
      </c>
    </row>
    <row r="6">
      <c r="A6" s="30" t="inlineStr">
        <is>
          <t xml:space="preserve">Loan Amount </t>
        </is>
      </c>
      <c r="B6" s="31">
        <f>+$B$4*$B$5</f>
        <v/>
      </c>
      <c r="D6" s="30" t="inlineStr">
        <is>
          <t>Freight</t>
        </is>
      </c>
      <c r="E6" s="30">
        <f>400000*$B$2/200</f>
        <v/>
      </c>
      <c r="H6" s="30" t="inlineStr">
        <is>
          <t>Opex</t>
        </is>
      </c>
      <c r="I6" s="30">
        <f>+$E$18</f>
        <v/>
      </c>
      <c r="J6" s="30">
        <f>+I6/12</f>
        <v/>
      </c>
    </row>
    <row r="7">
      <c r="A7" s="30" t="inlineStr">
        <is>
          <t>Interest Rate</t>
        </is>
      </c>
      <c r="B7" s="30" t="n">
        <v>0.005</v>
      </c>
      <c r="D7" s="30" t="inlineStr">
        <is>
          <t>Training package</t>
        </is>
      </c>
      <c r="E7" s="30">
        <f>300000*$B$2/200</f>
        <v/>
      </c>
      <c r="H7" s="30" t="inlineStr">
        <is>
          <t>Interest cost</t>
        </is>
      </c>
      <c r="I7" s="30">
        <f>(+$B$6/120+$B$8)*12</f>
        <v/>
      </c>
      <c r="J7" s="30">
        <f>+I7/12</f>
        <v/>
      </c>
    </row>
    <row r="8">
      <c r="A8" s="30" t="inlineStr">
        <is>
          <t>Monthly installment</t>
        </is>
      </c>
      <c r="B8" s="31">
        <f>PMT(+$B$7/12,120,+$B$6,0,0)</f>
        <v/>
      </c>
      <c r="D8" s="30" t="inlineStr">
        <is>
          <t>Accessories</t>
        </is>
      </c>
      <c r="E8" s="30">
        <f>2000000*$B$2/200</f>
        <v/>
      </c>
      <c r="H8" s="3" t="inlineStr">
        <is>
          <t>Profit (Loss)</t>
        </is>
      </c>
      <c r="I8" s="3">
        <f>+I4-I5-I6+I7</f>
        <v/>
      </c>
      <c r="J8" s="30">
        <f>+I8/12</f>
        <v/>
      </c>
    </row>
    <row r="9">
      <c r="A9" s="30" t="inlineStr">
        <is>
          <t>Initial machine investment</t>
        </is>
      </c>
      <c r="B9" s="31">
        <f>+$B$4-$B$6</f>
        <v/>
      </c>
      <c r="D9" s="30" t="inlineStr">
        <is>
          <t>Building cost</t>
        </is>
      </c>
      <c r="E9" s="30" t="n">
        <v>5000000</v>
      </c>
    </row>
    <row r="10">
      <c r="B10" s="30" t="n"/>
      <c r="D10" s="3" t="inlineStr">
        <is>
          <t>TOTAL</t>
        </is>
      </c>
      <c r="E10" s="3">
        <f>SUM(E4:E9)</f>
        <v/>
      </c>
    </row>
    <row r="11">
      <c r="A11" s="3" t="inlineStr">
        <is>
          <t>Waste profile/operation (to be updated)</t>
        </is>
      </c>
      <c r="B11" s="30" t="n"/>
    </row>
    <row r="12">
      <c r="A12" s="30" t="inlineStr">
        <is>
          <t xml:space="preserve"> - Plastic</t>
        </is>
      </c>
      <c r="B12" s="32" t="n">
        <v>0.3</v>
      </c>
      <c r="D12" s="3" t="inlineStr">
        <is>
          <t>OPEX</t>
        </is>
      </c>
      <c r="E12" s="3" t="inlineStr">
        <is>
          <t>Per Annum</t>
        </is>
      </c>
      <c r="F12" s="3" t="inlineStr">
        <is>
          <t>Per Month</t>
        </is>
      </c>
      <c r="H12" s="3" t="inlineStr">
        <is>
          <t>ROI</t>
        </is>
      </c>
      <c r="I12" s="3">
        <f>+$I$8/$B$9</f>
        <v/>
      </c>
    </row>
    <row r="13">
      <c r="A13" s="30" t="inlineStr">
        <is>
          <t xml:space="preserve"> - Other inorganic</t>
        </is>
      </c>
      <c r="B13" s="32" t="n">
        <v>0.7</v>
      </c>
      <c r="D13" s="30" t="inlineStr">
        <is>
          <t>Maintenance</t>
        </is>
      </c>
      <c r="E13" s="31">
        <f>+$E$4*0.04</f>
        <v/>
      </c>
      <c r="F13" s="30">
        <f>+E13/12</f>
        <v/>
      </c>
      <c r="H13" s="3" t="inlineStr">
        <is>
          <t>Payback Period (year)</t>
        </is>
      </c>
      <c r="I13" s="3">
        <f>+$B$9/$I$8</f>
        <v/>
      </c>
    </row>
    <row r="14">
      <c r="A14" s="30" t="inlineStr">
        <is>
          <t xml:space="preserve"> - Metals</t>
        </is>
      </c>
      <c r="B14" s="32" t="n">
        <v>0</v>
      </c>
      <c r="D14" s="30" t="inlineStr">
        <is>
          <t xml:space="preserve">Manpower </t>
        </is>
      </c>
      <c r="E14" s="30">
        <f>1200000*$B$2/200</f>
        <v/>
      </c>
      <c r="F14" s="30">
        <f>+E14/12</f>
        <v/>
      </c>
    </row>
    <row r="15">
      <c r="A15" s="30" t="inlineStr">
        <is>
          <t xml:space="preserve"> - silica/sands</t>
        </is>
      </c>
      <c r="B15" s="30" t="n">
        <v>0</v>
      </c>
      <c r="D15" s="30" t="inlineStr">
        <is>
          <t>Electricity (@0.2)</t>
        </is>
      </c>
      <c r="E15" s="30">
        <f>600*24*+$B$18*0.2*$B$2/200</f>
        <v/>
      </c>
      <c r="F15" s="30">
        <f>+E15/12</f>
        <v/>
      </c>
      <c r="H15" s="3" t="inlineStr">
        <is>
          <t>Cashflow after starting UR operation</t>
        </is>
      </c>
      <c r="J15" s="3" t="n"/>
      <c r="K15" s="3" t="n"/>
      <c r="L15" s="3" t="n"/>
      <c r="M15" s="3" t="n"/>
    </row>
    <row r="16">
      <c r="A16" s="30" t="inlineStr">
        <is>
          <t>Density of input waste</t>
        </is>
      </c>
      <c r="B16" s="30" t="n">
        <v>0.7</v>
      </c>
      <c r="D16" s="30" t="inlineStr">
        <is>
          <t>Plastic waste purchase</t>
        </is>
      </c>
      <c r="E16" s="30">
        <f>+$B$17*$B$18*$B$26</f>
        <v/>
      </c>
      <c r="F16" s="30">
        <f>+E16/12</f>
        <v/>
      </c>
      <c r="H16" s="30" t="n"/>
      <c r="I16" s="3" t="inlineStr">
        <is>
          <t xml:space="preserve">Per Year </t>
        </is>
      </c>
      <c r="J16" s="3" t="inlineStr">
        <is>
          <t>Per Month</t>
        </is>
      </c>
      <c r="K16" s="30" t="n"/>
    </row>
    <row r="17">
      <c r="A17" s="30" t="inlineStr">
        <is>
          <t>Daily waste input</t>
        </is>
      </c>
      <c r="B17" s="31">
        <f>+$B$16*$B$2</f>
        <v/>
      </c>
      <c r="D17" s="30" t="inlineStr">
        <is>
          <t>Others</t>
        </is>
      </c>
      <c r="E17" s="30" t="n">
        <v>1000000</v>
      </c>
      <c r="F17" s="30">
        <f>+E17/12</f>
        <v/>
      </c>
      <c r="H17" s="30" t="inlineStr">
        <is>
          <t>Income/Revenue</t>
        </is>
      </c>
      <c r="I17" s="30">
        <f>+$I$4</f>
        <v/>
      </c>
      <c r="J17" s="30">
        <f>+I17/12</f>
        <v/>
      </c>
      <c r="K17" s="3" t="n"/>
      <c r="L17" s="3" t="n"/>
      <c r="M17" s="3" t="n"/>
    </row>
    <row r="18">
      <c r="A18" s="30" t="inlineStr">
        <is>
          <t>Operation days per annum</t>
        </is>
      </c>
      <c r="B18" s="30" t="n">
        <v>330</v>
      </c>
      <c r="D18" s="3" t="inlineStr">
        <is>
          <t>TOTAL</t>
        </is>
      </c>
      <c r="E18" s="3">
        <f>SUM(E13:E17)</f>
        <v/>
      </c>
      <c r="F18" s="3">
        <f>+E18/12</f>
        <v/>
      </c>
      <c r="H18" s="30" t="inlineStr">
        <is>
          <t>Opex</t>
        </is>
      </c>
      <c r="I18" s="30">
        <f>+$I$6</f>
        <v/>
      </c>
      <c r="J18" s="30">
        <f>+I18/12</f>
        <v/>
      </c>
      <c r="K18" s="30" t="n"/>
    </row>
    <row r="19">
      <c r="B19" s="30" t="n"/>
      <c r="D19" s="30" t="n"/>
      <c r="H19" s="30" t="inlineStr">
        <is>
          <t>Monthly installment</t>
        </is>
      </c>
      <c r="I19" s="30">
        <f>+$B$8*12</f>
        <v/>
      </c>
      <c r="J19" s="30">
        <f>+I19/12</f>
        <v/>
      </c>
      <c r="K19" s="30" t="n"/>
    </row>
    <row r="20">
      <c r="A20" s="3" t="inlineStr">
        <is>
          <t>Market Price (to be updated)</t>
        </is>
      </c>
      <c r="B20" s="30" t="n"/>
      <c r="D20" s="3" t="inlineStr">
        <is>
          <t>INCOME /REVENUE</t>
        </is>
      </c>
      <c r="E20" s="3" t="inlineStr">
        <is>
          <t>Per Annum</t>
        </is>
      </c>
      <c r="F20" s="3" t="inlineStr">
        <is>
          <t>Per Month</t>
        </is>
      </c>
      <c r="H20" s="3" t="inlineStr">
        <is>
          <t xml:space="preserve">Positive cashflow </t>
        </is>
      </c>
      <c r="I20" s="3">
        <f>+I17-I18+I19</f>
        <v/>
      </c>
      <c r="J20" s="3">
        <f>+I20/12</f>
        <v/>
      </c>
      <c r="K20" s="30" t="n"/>
    </row>
    <row r="21">
      <c r="A21" s="30" t="inlineStr">
        <is>
          <t>Waste-fuel/ litre</t>
        </is>
      </c>
      <c r="B21" s="30" t="n">
        <v>0.41</v>
      </c>
      <c r="D21" s="30" t="inlineStr">
        <is>
          <t>Heavy  oil generated (0.41/l)</t>
        </is>
      </c>
      <c r="E21" s="30">
        <f>+$B$17*+$B$18*$B$12*0.85*1000</f>
        <v/>
      </c>
      <c r="F21" s="30">
        <f>+E21/12</f>
        <v/>
      </c>
      <c r="J21" s="3" t="n"/>
      <c r="K21" s="3" t="n"/>
      <c r="L21" s="3" t="n"/>
    </row>
    <row r="22">
      <c r="A22" s="30" t="inlineStr">
        <is>
          <t>Charcoal/T</t>
        </is>
      </c>
      <c r="B22" s="30" t="n">
        <v>100</v>
      </c>
      <c r="D22" s="30" t="inlineStr">
        <is>
          <t>Internal consumption</t>
        </is>
      </c>
      <c r="E22" s="30">
        <f>10000*+$B$2/200*+$B$18</f>
        <v/>
      </c>
      <c r="F22" s="30">
        <f>+E22/12</f>
        <v/>
      </c>
      <c r="K22" s="30" t="n"/>
    </row>
    <row r="23">
      <c r="A23" s="30" t="inlineStr">
        <is>
          <t>Metals/T</t>
        </is>
      </c>
      <c r="B23" s="30" t="n">
        <v>800</v>
      </c>
      <c r="D23" s="30" t="inlineStr">
        <is>
          <t xml:space="preserve">Heavy Oil for sales </t>
        </is>
      </c>
      <c r="E23" s="30">
        <f>(+$E$21-$E$22)</f>
        <v/>
      </c>
      <c r="F23" s="30">
        <f>+E23/12</f>
        <v/>
      </c>
      <c r="H23" s="30" t="inlineStr">
        <is>
          <t>CO2 Emission</t>
        </is>
      </c>
      <c r="I23" s="30" t="inlineStr">
        <is>
          <t>Incinerator</t>
        </is>
      </c>
      <c r="J23" s="30" t="inlineStr">
        <is>
          <t>UR (internal oil)</t>
        </is>
      </c>
      <c r="K23" s="30" t="inlineStr">
        <is>
          <t>UR (electric)</t>
        </is>
      </c>
      <c r="L23" s="30" t="n"/>
    </row>
    <row r="24">
      <c r="A24" s="30" t="inlineStr">
        <is>
          <t>Carbon Credit</t>
        </is>
      </c>
      <c r="B24" s="30" t="n">
        <v>50</v>
      </c>
      <c r="D24" s="30" t="inlineStr">
        <is>
          <t xml:space="preserve">Carbide for sales </t>
        </is>
      </c>
      <c r="E24" s="30">
        <f>+$B$17*$B$18*$B$13*0.25*$B$22</f>
        <v/>
      </c>
      <c r="F24" s="30">
        <f>+E24/12</f>
        <v/>
      </c>
      <c r="H24" s="30" t="inlineStr">
        <is>
          <t>CO2 per 1MT of waste</t>
        </is>
      </c>
      <c r="I24" s="30" t="n">
        <v>1.8</v>
      </c>
      <c r="J24" s="30">
        <f>0.05*3</f>
        <v/>
      </c>
      <c r="K24" s="30" t="n">
        <v>0</v>
      </c>
      <c r="L24" s="30" t="n"/>
    </row>
    <row r="25">
      <c r="A25" s="30" t="inlineStr">
        <is>
          <t>CO2 / 1MT of waste</t>
        </is>
      </c>
      <c r="B25" s="30" t="n">
        <v>1.8</v>
      </c>
      <c r="D25" s="30" t="inlineStr">
        <is>
          <t>Metals for sales</t>
        </is>
      </c>
      <c r="E25" s="30">
        <f>+$B$17*$B$18*$B$14*$B$23</f>
        <v/>
      </c>
      <c r="F25" s="30">
        <f>+E25/12</f>
        <v/>
      </c>
      <c r="H25" s="30" t="inlineStr">
        <is>
          <t xml:space="preserve">Annual CO2 </t>
        </is>
      </c>
      <c r="I25" s="30">
        <f>+$B$17*$B$18*$I$24</f>
        <v/>
      </c>
      <c r="J25" s="30">
        <f>+$B$17*$B$18*$J$24</f>
        <v/>
      </c>
      <c r="K25" s="30">
        <f>+$B$17*$B$18*K2</f>
        <v/>
      </c>
      <c r="L25" s="30" t="n"/>
    </row>
    <row r="26">
      <c r="A26" s="30" t="inlineStr">
        <is>
          <t>Plastic waste purchase/T</t>
        </is>
      </c>
      <c r="B26" s="30" t="n">
        <v>0</v>
      </c>
      <c r="D26" s="30" t="inlineStr">
        <is>
          <t xml:space="preserve">Carbon Credit </t>
        </is>
      </c>
      <c r="E26" s="33">
        <f>(+$B$17-$B$29*$B$2/200)*$B$18*+$B$25*$B$24</f>
        <v/>
      </c>
      <c r="F26" s="30">
        <f>+E26/12</f>
        <v/>
      </c>
      <c r="H26" s="30" t="inlineStr">
        <is>
          <t>CO2 reduction</t>
        </is>
      </c>
      <c r="I26" s="30" t="n">
        <v>0</v>
      </c>
      <c r="J26" s="30">
        <f>+I25-J25</f>
        <v/>
      </c>
      <c r="K26" s="30">
        <f>+I25-K25</f>
        <v/>
      </c>
      <c r="L26" s="30" t="n"/>
    </row>
    <row r="27">
      <c r="A27" s="30" t="inlineStr">
        <is>
          <t>Waste Processing Fee/T</t>
        </is>
      </c>
      <c r="B27" s="32" t="n">
        <v>350</v>
      </c>
      <c r="C27" s="3" t="n"/>
      <c r="D27" s="30" t="inlineStr">
        <is>
          <t>Waste Processing Fee</t>
        </is>
      </c>
      <c r="E27" s="30">
        <f>+$B$17*$B$18*$B$27</f>
        <v/>
      </c>
      <c r="F27" s="30">
        <f>+E27/12</f>
        <v/>
      </c>
      <c r="G27" s="3" t="n"/>
      <c r="H27" s="3" t="inlineStr">
        <is>
          <t>One unit of 200T UR machine could prevent at least 76,230 MT of CO2 emission per year.</t>
        </is>
      </c>
      <c r="I27" s="3" t="n"/>
      <c r="J27" s="3" t="n"/>
      <c r="K27" s="3" t="n"/>
      <c r="L27" s="3" t="n"/>
      <c r="M27" s="3" t="n"/>
    </row>
    <row r="28">
      <c r="A28" s="3" t="n"/>
      <c r="B28" s="3" t="n"/>
      <c r="D28" s="3" t="inlineStr">
        <is>
          <t>Total</t>
        </is>
      </c>
      <c r="E28" s="3">
        <f>SUM(E23:E27)</f>
        <v/>
      </c>
      <c r="F28" s="3">
        <f>SUM(F23:F27)</f>
        <v/>
      </c>
    </row>
    <row r="29">
      <c r="A29" s="3" t="inlineStr">
        <is>
          <t>Auto-consommation (t/jour)</t>
        </is>
      </c>
      <c r="B29" s="34" t="n">
        <v>25</v>
      </c>
      <c r="H29" s="30" t="n"/>
    </row>
    <row r="30">
      <c r="A30" s="3" t="n"/>
      <c r="B30" s="3" t="n"/>
    </row>
    <row r="31">
      <c r="B31" s="30" t="n"/>
      <c r="D31" s="28" t="inlineStr">
        <is>
          <t>pour innigham</t>
        </is>
      </c>
      <c r="E31" s="28">
        <f>E23*10</f>
        <v/>
      </c>
    </row>
    <row r="32">
      <c r="A32" t="inlineStr">
        <is>
          <t>═══════════════════════════════════════════════════════</t>
        </is>
      </c>
      <c r="B32" s="30" t="n"/>
    </row>
    <row r="33">
      <c r="A33" s="35" t="inlineStr">
        <is>
          <t>CORRECTIONS APPORTÉES (vs version originale)</t>
        </is>
      </c>
      <c r="B33" s="3" t="n"/>
    </row>
    <row r="34">
      <c r="A34" t="inlineStr">
        <is>
          <t>═══════════════════════════════════════════════════════</t>
        </is>
      </c>
      <c r="B34" s="30" t="n"/>
    </row>
    <row r="35">
      <c r="B35" s="30" t="n"/>
    </row>
    <row r="36">
      <c r="A36" t="inlineStr">
        <is>
          <t>1. B29: Auto-consommation = 25 t/jour</t>
        </is>
      </c>
      <c r="B36" s="30" t="inlineStr">
        <is>
          <t>(était 47 hardcodé)</t>
        </is>
      </c>
    </row>
    <row r="37">
      <c r="A37" t="inlineStr">
        <is>
          <t xml:space="preserve">   Basé sur max 10,000 L fuel/jour confirmé par ingénieurs</t>
        </is>
      </c>
      <c r="B37" s="30" t="n"/>
    </row>
    <row r="38">
      <c r="B38" s="30" t="n"/>
    </row>
    <row r="39">
      <c r="A39" t="inlineStr">
        <is>
          <t>2. E26: Formule Carbon Credit corrigée</t>
        </is>
      </c>
      <c r="B39" s="30" t="inlineStr">
        <is>
          <t>Utilise B29 au lieu de 47</t>
        </is>
      </c>
    </row>
    <row r="40">
      <c r="B40" s="30" t="n"/>
    </row>
    <row r="41">
      <c r="A41" t="inlineStr">
        <is>
          <t>═══════════════════════════════════════════════════════</t>
        </is>
      </c>
      <c r="B41" s="30" t="n"/>
    </row>
    <row r="42">
      <c r="A42" s="35" t="inlineStr">
        <is>
          <t>ANALYSE CO2: SYNGAS vs DIESEL</t>
        </is>
      </c>
      <c r="B42" s="30" t="n"/>
    </row>
    <row r="43">
      <c r="A43" t="inlineStr">
        <is>
          <t>═══════════════════════════════════════════════════════</t>
        </is>
      </c>
      <c r="B43" s="30" t="n"/>
    </row>
    <row r="44">
      <c r="B44" s="30" t="n"/>
    </row>
    <row r="45">
      <c r="A45" t="inlineStr">
        <is>
          <t>Consommation max fuel externe:</t>
        </is>
      </c>
      <c r="B45" s="30" t="n">
        <v>10000</v>
      </c>
      <c r="C45" t="inlineStr">
        <is>
          <t>litres/jour</t>
        </is>
      </c>
    </row>
    <row r="46">
      <c r="A46" t="inlineStr">
        <is>
          <t>CO2 si diesel (2.68 kg/L):</t>
        </is>
      </c>
      <c r="B46" s="30">
        <f>B45*2.68/1000</f>
        <v/>
      </c>
      <c r="C46" t="inlineStr">
        <is>
          <t>t CO2/jour</t>
        </is>
      </c>
    </row>
    <row r="47">
      <c r="A47" t="inlineStr">
        <is>
          <t>CO2 diesel annuel:</t>
        </is>
      </c>
      <c r="B47" s="30">
        <f>B46*$B$18</f>
        <v/>
      </c>
      <c r="C47" t="inlineStr">
        <is>
          <t>t CO2/an</t>
        </is>
      </c>
    </row>
    <row r="48">
      <c r="B48" s="30" t="n"/>
    </row>
    <row r="49">
      <c r="A49" t="inlineStr">
        <is>
          <t>Avec syngas UR (70% biogénique):</t>
        </is>
      </c>
      <c r="B49" s="30">
        <f>B47*0.30</f>
        <v/>
      </c>
      <c r="C49" t="inlineStr">
        <is>
          <t>t CO2/an (seul le fossile compte)</t>
        </is>
      </c>
    </row>
    <row r="50">
      <c r="A50" t="inlineStr">
        <is>
          <t>Réduction vs diesel:</t>
        </is>
      </c>
      <c r="B50" s="30">
        <f>1-B49/B47</f>
        <v/>
      </c>
      <c r="C50" t="inlineStr">
        <is>
          <t>% réduction</t>
        </is>
      </c>
    </row>
    <row r="51">
      <c r="B51" s="30" t="n"/>
    </row>
    <row r="52">
      <c r="A52" t="inlineStr">
        <is>
          <t>═══════════════════════════════════════════════════════</t>
        </is>
      </c>
      <c r="B52" s="30" t="n"/>
    </row>
    <row r="53">
      <c r="A53" s="35" t="inlineStr">
        <is>
          <t>MÉTRIQUES CLÉS</t>
        </is>
      </c>
      <c r="B53" s="30" t="n"/>
    </row>
    <row r="54">
      <c r="A54" t="inlineStr">
        <is>
          <t>═══════════════════════════════════════════════════════</t>
        </is>
      </c>
      <c r="B54" s="30" t="n"/>
    </row>
    <row r="55">
      <c r="B55" s="30" t="n"/>
    </row>
    <row r="56">
      <c r="A56" t="inlineStr">
        <is>
          <t>Input effectif/jour:</t>
        </is>
      </c>
      <c r="B56" s="30">
        <f>$B$17</f>
        <v/>
      </c>
      <c r="C56" t="inlineStr">
        <is>
          <t>tonnes</t>
        </is>
      </c>
    </row>
    <row r="57">
      <c r="A57" t="inlineStr">
        <is>
          <t>Auto-consommation/jour:</t>
        </is>
      </c>
      <c r="B57" s="30">
        <f>$B$29</f>
        <v/>
      </c>
      <c r="C57" t="inlineStr">
        <is>
          <t>tonnes</t>
        </is>
      </c>
    </row>
    <row r="58">
      <c r="A58" t="inlineStr">
        <is>
          <t>Output valorisable/jour:</t>
        </is>
      </c>
      <c r="B58" s="30">
        <f>$B$17-$B$29</f>
        <v/>
      </c>
      <c r="C58" t="inlineStr">
        <is>
          <t>tonnes</t>
        </is>
      </c>
    </row>
    <row r="59">
      <c r="A59" t="inlineStr">
        <is>
          <t>Ratio valorisation:</t>
        </is>
      </c>
      <c r="B59" s="30">
        <f>B58/$B$17</f>
        <v/>
      </c>
      <c r="C59" t="inlineStr">
        <is>
          <t>% (objectif &gt; 80%)</t>
        </is>
      </c>
    </row>
    <row r="60">
      <c r="B60" s="30" t="n"/>
    </row>
    <row r="61">
      <c r="A61" t="inlineStr">
        <is>
          <t>Huile générée/an:</t>
        </is>
      </c>
      <c r="B61" s="30">
        <f>$E$21</f>
        <v/>
      </c>
      <c r="C61" t="inlineStr">
        <is>
          <t>litres</t>
        </is>
      </c>
    </row>
    <row r="62">
      <c r="A62" t="inlineStr">
        <is>
          <t>Consommation interne/an:</t>
        </is>
      </c>
      <c r="B62" s="30">
        <f>$E$22</f>
        <v/>
      </c>
      <c r="C62" t="inlineStr">
        <is>
          <t>litres</t>
        </is>
      </c>
    </row>
    <row r="63">
      <c r="A63" t="inlineStr">
        <is>
          <t>Huile vendue/an:</t>
        </is>
      </c>
      <c r="B63" s="30">
        <f>$E$23</f>
        <v/>
      </c>
      <c r="C63" t="inlineStr">
        <is>
          <t>litres</t>
        </is>
      </c>
    </row>
    <row r="64">
      <c r="B64" s="30" t="n"/>
    </row>
    <row r="65">
      <c r="A65" t="inlineStr">
        <is>
          <t>Crédits carbone/an:</t>
        </is>
      </c>
      <c r="B65" s="30">
        <f>$E$26</f>
        <v/>
      </c>
      <c r="C65" t="inlineStr">
        <is>
          <t>USD</t>
        </is>
      </c>
    </row>
    <row r="66">
      <c r="A66" t="inlineStr">
        <is>
          <t>Revenu total/an:</t>
        </is>
      </c>
      <c r="B66" s="30">
        <f>$E$28</f>
        <v/>
      </c>
      <c r="C66" t="inlineStr">
        <is>
          <t>USD</t>
        </is>
      </c>
    </row>
    <row r="67">
      <c r="B67" s="30" t="n"/>
    </row>
    <row r="68">
      <c r="A68" t="inlineStr">
        <is>
          <t>OPEX total/an:</t>
        </is>
      </c>
      <c r="B68" s="30">
        <f>$E$18</f>
        <v/>
      </c>
      <c r="C68" t="inlineStr">
        <is>
          <t>USD</t>
        </is>
      </c>
    </row>
    <row r="69">
      <c r="A69" t="inlineStr">
        <is>
          <t>Profit annuel:</t>
        </is>
      </c>
      <c r="B69" s="30">
        <f>$I$8</f>
        <v/>
      </c>
      <c r="C69" t="inlineStr">
        <is>
          <t>USD</t>
        </is>
      </c>
    </row>
    <row r="70">
      <c r="A70" t="inlineStr">
        <is>
          <t>ROI:</t>
        </is>
      </c>
      <c r="B70" s="30">
        <f>$I$12</f>
        <v/>
      </c>
      <c r="C70" t="inlineStr">
        <is>
          <t>%</t>
        </is>
      </c>
    </row>
    <row r="71">
      <c r="A71" t="inlineStr">
        <is>
          <t>Payback:</t>
        </is>
      </c>
      <c r="B71" s="30">
        <f>$I$13</f>
        <v/>
      </c>
      <c r="C71" t="inlineStr">
        <is>
          <t>années</t>
        </is>
      </c>
    </row>
    <row r="72">
      <c r="B72" s="30" t="n"/>
    </row>
    <row r="73">
      <c r="B73" s="30" t="n"/>
    </row>
    <row r="74">
      <c r="B74" s="30" t="n"/>
    </row>
    <row r="75">
      <c r="B75" s="30" t="n"/>
    </row>
    <row r="76">
      <c r="B76" s="30" t="n"/>
    </row>
    <row r="77">
      <c r="B77" s="30" t="n"/>
    </row>
    <row r="78">
      <c r="B78" s="30" t="n"/>
    </row>
    <row r="79">
      <c r="B79" s="30" t="n"/>
    </row>
    <row r="80">
      <c r="B80" s="30" t="n"/>
    </row>
    <row r="81">
      <c r="B81" s="30" t="n"/>
    </row>
    <row r="82">
      <c r="B82" s="30" t="n"/>
    </row>
    <row r="83">
      <c r="B83" s="30" t="n"/>
    </row>
    <row r="84">
      <c r="B84" s="30" t="n"/>
    </row>
    <row r="85">
      <c r="B85" s="30" t="n"/>
    </row>
    <row r="86">
      <c r="B86" s="30" t="n"/>
    </row>
    <row r="87">
      <c r="B87" s="30" t="n"/>
    </row>
    <row r="88">
      <c r="B88" s="30" t="n"/>
    </row>
    <row r="89">
      <c r="B89" s="30" t="n"/>
    </row>
    <row r="90">
      <c r="B90" s="30" t="n"/>
    </row>
    <row r="91">
      <c r="B91" s="30" t="n"/>
    </row>
    <row r="92">
      <c r="B92" s="30" t="n"/>
    </row>
    <row r="93">
      <c r="B93" s="30" t="n"/>
    </row>
    <row r="94">
      <c r="B94" s="30" t="n"/>
    </row>
    <row r="95">
      <c r="B95" s="30" t="n"/>
    </row>
    <row r="96">
      <c r="B96" s="30" t="n"/>
    </row>
    <row r="97">
      <c r="B97" s="30" t="n"/>
    </row>
    <row r="98">
      <c r="B98" s="30" t="n"/>
    </row>
    <row r="99">
      <c r="B99" s="30" t="n"/>
    </row>
    <row r="100">
      <c r="B100" s="3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ColWidth="12.63" defaultRowHeight="15" customHeight="1"/>
  <cols>
    <col width="22.13" customWidth="1" style="29" min="1" max="1"/>
    <col width="12.75" customWidth="1" style="29" min="2" max="2"/>
    <col width="1.75" customWidth="1" style="29" min="3" max="3"/>
    <col width="22.75" customWidth="1" style="29" min="4" max="4"/>
    <col width="12.25" customWidth="1" style="29" min="5" max="5"/>
    <col width="11.75" customWidth="1" style="29" min="6" max="6"/>
    <col width="1.13" customWidth="1" style="29" min="7" max="7"/>
    <col width="19.13" customWidth="1" style="29" min="8" max="8"/>
    <col width="15.25" customWidth="1" style="29" min="9" max="9"/>
    <col width="14.13" customWidth="1" style="29" min="10" max="10"/>
    <col width="12.75" customWidth="1" style="29" min="11" max="13"/>
    <col width="14.38" customWidth="1" style="29" min="14" max="26"/>
  </cols>
  <sheetData>
    <row r="1" ht="14.25" customHeight="1" s="29">
      <c r="A1" s="1" t="inlineStr">
        <is>
          <t>Worksheet for 200MT UR in USD</t>
        </is>
      </c>
      <c r="B1" s="2" t="n"/>
    </row>
    <row r="2" ht="14.25" customHeight="1" s="29">
      <c r="A2" s="3" t="inlineStr">
        <is>
          <t>Machine Capacity (T)</t>
        </is>
      </c>
      <c r="B2" s="4" t="n">
        <v>200</v>
      </c>
    </row>
    <row r="3" ht="14.25" customHeight="1" s="29">
      <c r="A3" s="5" t="inlineStr">
        <is>
          <t>Investment/Financial</t>
        </is>
      </c>
      <c r="B3" s="6" t="n"/>
      <c r="D3" s="5" t="inlineStr">
        <is>
          <t>CAPEX</t>
        </is>
      </c>
      <c r="E3" s="7" t="inlineStr">
        <is>
          <t>Per Annum</t>
        </is>
      </c>
      <c r="F3" s="3" t="n"/>
      <c r="H3" s="5" t="inlineStr">
        <is>
          <t>Profit &amp; Loss</t>
        </is>
      </c>
      <c r="I3" s="5" t="inlineStr">
        <is>
          <t>Per Year</t>
        </is>
      </c>
      <c r="J3" s="5" t="inlineStr">
        <is>
          <t xml:space="preserve">Per Month </t>
        </is>
      </c>
    </row>
    <row r="4" ht="14.25" customHeight="1" s="29">
      <c r="A4" s="8" t="inlineStr">
        <is>
          <t>Machine cost</t>
        </is>
      </c>
      <c r="B4" s="6">
        <f>45000000*$B$2/200</f>
        <v/>
      </c>
      <c r="D4" s="8" t="inlineStr">
        <is>
          <t>UR machine price</t>
        </is>
      </c>
      <c r="E4" s="9">
        <f>+$B$4</f>
        <v/>
      </c>
      <c r="H4" s="8" t="inlineStr">
        <is>
          <t>Incomes Sources</t>
        </is>
      </c>
      <c r="I4" s="10">
        <f>+$E$28</f>
        <v/>
      </c>
      <c r="J4" s="10">
        <f>+I4/12</f>
        <v/>
      </c>
    </row>
    <row r="5" ht="14.25" customHeight="1" s="29">
      <c r="A5" s="8" t="inlineStr">
        <is>
          <t>Bank loan %</t>
        </is>
      </c>
      <c r="B5" s="12" t="n">
        <v>0.7</v>
      </c>
      <c r="D5" s="8" t="inlineStr">
        <is>
          <t>Installation</t>
        </is>
      </c>
      <c r="E5" s="6">
        <f>200000*$B$2/200</f>
        <v/>
      </c>
      <c r="H5" s="8" t="inlineStr">
        <is>
          <t>Capex (depreciation)</t>
        </is>
      </c>
      <c r="I5" s="10">
        <f>+$E$10/10</f>
        <v/>
      </c>
      <c r="J5" s="10">
        <f>+I5/12</f>
        <v/>
      </c>
    </row>
    <row r="6" ht="14.25" customHeight="1" s="29">
      <c r="A6" s="8" t="inlineStr">
        <is>
          <t xml:space="preserve">Loan Amount </t>
        </is>
      </c>
      <c r="B6" s="9">
        <f>+$B$4*$B$5</f>
        <v/>
      </c>
      <c r="D6" s="8" t="inlineStr">
        <is>
          <t>Freight</t>
        </is>
      </c>
      <c r="E6" s="6">
        <f>400000*$B$2/200</f>
        <v/>
      </c>
      <c r="H6" s="8" t="inlineStr">
        <is>
          <t>Opex</t>
        </is>
      </c>
      <c r="I6" s="10">
        <f>+$E$18</f>
        <v/>
      </c>
      <c r="J6" s="10">
        <f>+I6/12</f>
        <v/>
      </c>
    </row>
    <row r="7" ht="14.25" customHeight="1" s="29">
      <c r="A7" s="8" t="inlineStr">
        <is>
          <t>Interest Rate</t>
        </is>
      </c>
      <c r="B7" s="12" t="n">
        <v>0.12</v>
      </c>
      <c r="D7" s="8" t="inlineStr">
        <is>
          <t>Training package</t>
        </is>
      </c>
      <c r="E7" s="6">
        <f>300000*$B$2/200</f>
        <v/>
      </c>
      <c r="H7" s="8" t="inlineStr">
        <is>
          <t>Interest cost</t>
        </is>
      </c>
      <c r="I7" s="10">
        <f>(+$B$6/120+$B$8)*12</f>
        <v/>
      </c>
      <c r="J7" s="10">
        <f>+I7/12</f>
        <v/>
      </c>
    </row>
    <row r="8" ht="14.25" customHeight="1" s="29">
      <c r="A8" s="8" t="inlineStr">
        <is>
          <t>Monthly installment</t>
        </is>
      </c>
      <c r="B8" s="9">
        <f>PMT(+$B$7/12,120,+$B$6,0,0)</f>
        <v/>
      </c>
      <c r="D8" s="8" t="inlineStr">
        <is>
          <t>Accessories</t>
        </is>
      </c>
      <c r="E8" s="6">
        <f>2000000*$B$2/200</f>
        <v/>
      </c>
      <c r="H8" s="5" t="inlineStr">
        <is>
          <t>Profit (Loss)</t>
        </is>
      </c>
      <c r="I8" s="13">
        <f>+I4-I5-I6+I7</f>
        <v/>
      </c>
      <c r="J8" s="10">
        <f>+I8/12</f>
        <v/>
      </c>
    </row>
    <row r="9" ht="14.25" customHeight="1" s="29">
      <c r="A9" s="8" t="inlineStr">
        <is>
          <t>Initial machine investment</t>
        </is>
      </c>
      <c r="B9" s="9">
        <f>+$B$4-$B$6</f>
        <v/>
      </c>
      <c r="D9" s="8" t="inlineStr">
        <is>
          <t>Building cost</t>
        </is>
      </c>
      <c r="E9" s="6" t="n">
        <v>5000000</v>
      </c>
    </row>
    <row r="10" ht="14.25" customHeight="1" s="29">
      <c r="B10" s="2" t="n"/>
      <c r="D10" s="5" t="inlineStr">
        <is>
          <t>TOTAL</t>
        </is>
      </c>
      <c r="E10" s="7">
        <f>SUM(E4:E9)</f>
        <v/>
      </c>
    </row>
    <row r="11" ht="14.25" customHeight="1" s="29">
      <c r="A11" s="5" t="inlineStr">
        <is>
          <t>Waste profile/operation (to be updated)</t>
        </is>
      </c>
      <c r="B11" s="6" t="n"/>
    </row>
    <row r="12" ht="14.25" customHeight="1" s="29">
      <c r="A12" s="8" t="inlineStr">
        <is>
          <t xml:space="preserve"> - Plastic</t>
        </is>
      </c>
      <c r="B12" s="16" t="n">
        <v>1</v>
      </c>
      <c r="D12" s="5" t="inlineStr">
        <is>
          <t>OPEX</t>
        </is>
      </c>
      <c r="E12" s="7" t="inlineStr">
        <is>
          <t>Per Annum</t>
        </is>
      </c>
      <c r="F12" s="5" t="inlineStr">
        <is>
          <t>Per Month</t>
        </is>
      </c>
      <c r="H12" s="5" t="inlineStr">
        <is>
          <t>ROI</t>
        </is>
      </c>
      <c r="I12" s="15">
        <f>+$I$8/$B$9</f>
        <v/>
      </c>
    </row>
    <row r="13" ht="14.25" customHeight="1" s="29">
      <c r="A13" s="8" t="inlineStr">
        <is>
          <t xml:space="preserve"> - Other inorganic</t>
        </is>
      </c>
      <c r="B13" s="16" t="n">
        <v>0.7</v>
      </c>
      <c r="D13" s="8" t="inlineStr">
        <is>
          <t>Maintenance</t>
        </is>
      </c>
      <c r="E13" s="9">
        <f>+$E$4*0.04</f>
        <v/>
      </c>
      <c r="F13" s="17">
        <f>+E13/12</f>
        <v/>
      </c>
      <c r="H13" s="5" t="inlineStr">
        <is>
          <t>Payback Period (year)</t>
        </is>
      </c>
      <c r="I13" s="36">
        <f>+$B$9/$I$8</f>
        <v/>
      </c>
    </row>
    <row r="14" ht="14.25" customHeight="1" s="29">
      <c r="A14" s="8" t="inlineStr">
        <is>
          <t xml:space="preserve"> - Metals</t>
        </is>
      </c>
      <c r="B14" s="16" t="n">
        <v>0</v>
      </c>
      <c r="D14" s="8" t="inlineStr">
        <is>
          <t xml:space="preserve">Manpower </t>
        </is>
      </c>
      <c r="E14" s="6">
        <f>1200000*$B$2/200</f>
        <v/>
      </c>
      <c r="F14" s="17">
        <f>+E14/12</f>
        <v/>
      </c>
    </row>
    <row r="15" ht="14.25" customHeight="1" s="29">
      <c r="A15" s="8" t="inlineStr">
        <is>
          <t xml:space="preserve"> - silica/sands</t>
        </is>
      </c>
      <c r="B15" s="12" t="n">
        <v>0</v>
      </c>
      <c r="D15" s="8" t="inlineStr">
        <is>
          <t>Electricity (@0.2)</t>
        </is>
      </c>
      <c r="E15" s="6">
        <f>600*24*+$B$18*0.2*$B$2/200</f>
        <v/>
      </c>
      <c r="F15" s="17">
        <f>+E15/12</f>
        <v/>
      </c>
      <c r="H15" s="3" t="inlineStr">
        <is>
          <t>Cashflow after starting UR operation</t>
        </is>
      </c>
      <c r="J15" s="3" t="n"/>
      <c r="K15" s="3" t="n"/>
      <c r="L15" s="3" t="n"/>
      <c r="M15" s="3" t="n"/>
    </row>
    <row r="16" ht="14.25" customHeight="1" s="29">
      <c r="A16" s="8" t="inlineStr">
        <is>
          <t>Density of input waste</t>
        </is>
      </c>
      <c r="B16" s="19" t="n">
        <v>0.7</v>
      </c>
      <c r="D16" s="8" t="inlineStr">
        <is>
          <t>Plastic waste purchase</t>
        </is>
      </c>
      <c r="E16" s="6">
        <f>+$B$17*$B$18*$B$26</f>
        <v/>
      </c>
      <c r="F16" s="17">
        <f>+E16/12</f>
        <v/>
      </c>
      <c r="H16" s="8" t="n"/>
      <c r="I16" s="5" t="inlineStr">
        <is>
          <t xml:space="preserve">Per Year </t>
        </is>
      </c>
      <c r="J16" s="5" t="inlineStr">
        <is>
          <t>Per Month</t>
        </is>
      </c>
      <c r="K16" s="2" t="n"/>
    </row>
    <row r="17" ht="14.25" customHeight="1" s="29">
      <c r="A17" s="8" t="inlineStr">
        <is>
          <t>Daily waste input</t>
        </is>
      </c>
      <c r="B17" s="9">
        <f>+$B$16*$B$2</f>
        <v/>
      </c>
      <c r="D17" s="8" t="inlineStr">
        <is>
          <t>Others</t>
        </is>
      </c>
      <c r="E17" s="6" t="n">
        <v>1000000</v>
      </c>
      <c r="F17" s="17">
        <f>+E17/12</f>
        <v/>
      </c>
      <c r="H17" s="8" t="inlineStr">
        <is>
          <t>Income/Revenue</t>
        </is>
      </c>
      <c r="I17" s="10">
        <f>+$I$4</f>
        <v/>
      </c>
      <c r="J17" s="10">
        <f>+I17/12</f>
        <v/>
      </c>
      <c r="K17" s="4" t="n"/>
      <c r="L17" s="3" t="n"/>
      <c r="M17" s="3" t="n"/>
    </row>
    <row r="18" ht="14.25" customHeight="1" s="29">
      <c r="A18" s="8" t="inlineStr">
        <is>
          <t>Operation days per annum</t>
        </is>
      </c>
      <c r="B18" s="6" t="n">
        <v>330</v>
      </c>
      <c r="D18" s="5" t="inlineStr">
        <is>
          <t>TOTAL</t>
        </is>
      </c>
      <c r="E18" s="7">
        <f>SUM(E13:E17)</f>
        <v/>
      </c>
      <c r="F18" s="20">
        <f>+E18/12</f>
        <v/>
      </c>
      <c r="H18" s="8" t="inlineStr">
        <is>
          <t>Opex</t>
        </is>
      </c>
      <c r="I18" s="10">
        <f>+$I$6</f>
        <v/>
      </c>
      <c r="J18" s="10">
        <f>+I18/12</f>
        <v/>
      </c>
      <c r="K18" s="21" t="n"/>
    </row>
    <row r="19" ht="14.25" customHeight="1" s="29">
      <c r="B19" s="2" t="n"/>
      <c r="D19" s="21" t="n"/>
      <c r="H19" s="8" t="inlineStr">
        <is>
          <t>Monthly installment</t>
        </is>
      </c>
      <c r="I19" s="10">
        <f>+$B$8*12</f>
        <v/>
      </c>
      <c r="J19" s="10">
        <f>+I19/12</f>
        <v/>
      </c>
      <c r="K19" s="21" t="n"/>
    </row>
    <row r="20" ht="14.25" customHeight="1" s="29">
      <c r="A20" s="5" t="inlineStr">
        <is>
          <t>Market Price (to be updated)</t>
        </is>
      </c>
      <c r="B20" s="8" t="n"/>
      <c r="D20" s="5" t="inlineStr">
        <is>
          <t>INCOME /REVENUE</t>
        </is>
      </c>
      <c r="E20" s="7" t="inlineStr">
        <is>
          <t>Per Annum</t>
        </is>
      </c>
      <c r="F20" s="5" t="inlineStr">
        <is>
          <t>Per Month</t>
        </is>
      </c>
      <c r="H20" s="5" t="inlineStr">
        <is>
          <t xml:space="preserve">Positive cashflow </t>
        </is>
      </c>
      <c r="I20" s="13">
        <f>+I17-I18+I19</f>
        <v/>
      </c>
      <c r="J20" s="13">
        <f>+I20/12</f>
        <v/>
      </c>
      <c r="K20" s="22" t="n"/>
    </row>
    <row r="21" ht="14.25" customHeight="1" s="29">
      <c r="A21" s="8" t="inlineStr">
        <is>
          <t>Waste-fuel/ litre</t>
        </is>
      </c>
      <c r="B21" s="37" t="n">
        <v>0.6</v>
      </c>
      <c r="D21" s="8" t="inlineStr">
        <is>
          <t>Heavy  oil generated (0.41/l)</t>
        </is>
      </c>
      <c r="E21" s="17">
        <f>+$B$17*+$B$18*$B$12*0.85*1000*+$B$21*0.5</f>
        <v/>
      </c>
      <c r="F21" s="17">
        <f>+E21/12</f>
        <v/>
      </c>
      <c r="J21" s="3" t="n"/>
      <c r="K21" s="4" t="n"/>
      <c r="L21" s="3" t="n"/>
    </row>
    <row r="22" ht="14.25" customHeight="1" s="29">
      <c r="A22" s="8" t="inlineStr">
        <is>
          <t>Charcoal/T</t>
        </is>
      </c>
      <c r="B22" s="37" t="n">
        <v>100</v>
      </c>
      <c r="D22" s="8" t="inlineStr">
        <is>
          <t>Internal consumption</t>
        </is>
      </c>
      <c r="E22" s="17">
        <f>10000*+$B$2/200*+$B$18*+$B$21</f>
        <v/>
      </c>
      <c r="F22" s="17">
        <f>+E22/12</f>
        <v/>
      </c>
      <c r="K22" s="2" t="n"/>
    </row>
    <row r="23" ht="14.25" customHeight="1" s="29">
      <c r="A23" s="8" t="inlineStr">
        <is>
          <t>Metals/T</t>
        </is>
      </c>
      <c r="B23" s="37" t="n">
        <v>800</v>
      </c>
      <c r="D23" s="8" t="inlineStr">
        <is>
          <t xml:space="preserve">Heavy Oil for sales </t>
        </is>
      </c>
      <c r="E23" s="17">
        <f>(+$E$21-$E$22)</f>
        <v/>
      </c>
      <c r="F23" s="17">
        <f>+E23/12</f>
        <v/>
      </c>
      <c r="H23" s="8" t="inlineStr">
        <is>
          <t>CO2 Emission</t>
        </is>
      </c>
      <c r="I23" s="8" t="inlineStr">
        <is>
          <t>Incinerator</t>
        </is>
      </c>
      <c r="J23" s="8" t="inlineStr">
        <is>
          <t>UR (internal oil)</t>
        </is>
      </c>
      <c r="K23" s="8" t="inlineStr">
        <is>
          <t>UR (electric)</t>
        </is>
      </c>
      <c r="L23" s="8" t="n"/>
    </row>
    <row r="24" ht="14.25" customHeight="1" s="29">
      <c r="A24" s="8" t="inlineStr">
        <is>
          <t>Carbon Credit</t>
        </is>
      </c>
      <c r="B24" s="37" t="n">
        <v>50</v>
      </c>
      <c r="D24" s="8" t="inlineStr">
        <is>
          <t xml:space="preserve">Carbide for sales </t>
        </is>
      </c>
      <c r="E24" s="17">
        <f>+$B$17*$B$18*$B$13*0.25*$B$22</f>
        <v/>
      </c>
      <c r="F24" s="17">
        <f>+E24/12</f>
        <v/>
      </c>
      <c r="H24" s="8" t="inlineStr">
        <is>
          <t>CO2 per 1MT of waste</t>
        </is>
      </c>
      <c r="I24" s="8" t="n">
        <v>1.8</v>
      </c>
      <c r="J24" s="8">
        <f>0.05*3</f>
        <v/>
      </c>
      <c r="K24" s="8" t="n">
        <v>0</v>
      </c>
      <c r="L24" s="8" t="n"/>
    </row>
    <row r="25" ht="14.25" customHeight="1" s="29">
      <c r="A25" s="8" t="inlineStr">
        <is>
          <t>CO2 / 1MT of waste</t>
        </is>
      </c>
      <c r="B25" s="8" t="n">
        <v>1.8</v>
      </c>
      <c r="D25" s="8" t="inlineStr">
        <is>
          <t>Metals for sales</t>
        </is>
      </c>
      <c r="E25" s="17">
        <f>+$B$17*$B$18*$B$14*$B$23</f>
        <v/>
      </c>
      <c r="F25" s="17">
        <f>+E25/12</f>
        <v/>
      </c>
      <c r="H25" s="8" t="inlineStr">
        <is>
          <t xml:space="preserve">Annual CO2 </t>
        </is>
      </c>
      <c r="I25" s="17">
        <f>+$B$17*$B$18*$I$24</f>
        <v/>
      </c>
      <c r="J25" s="17">
        <f>+$B$17*$B$18*$J$24</f>
        <v/>
      </c>
      <c r="K25" s="17">
        <f>+$B$17*$B$18*K2</f>
        <v/>
      </c>
      <c r="L25" s="8" t="n"/>
    </row>
    <row r="26" ht="14.25" customHeight="1" s="29">
      <c r="A26" s="8" t="inlineStr">
        <is>
          <t>Plastic waste purchase/T</t>
        </is>
      </c>
      <c r="B26" s="37" t="n">
        <v>0</v>
      </c>
      <c r="D26" s="8" t="inlineStr">
        <is>
          <t xml:space="preserve">Carbon Credit </t>
        </is>
      </c>
      <c r="E26" s="17">
        <f>(+$B$17-47*$B$2/200)*$B$18*+$B$25*$B$24</f>
        <v/>
      </c>
      <c r="F26" s="17">
        <f>+E26/12</f>
        <v/>
      </c>
      <c r="H26" s="8" t="inlineStr">
        <is>
          <t>CO2 reduction</t>
        </is>
      </c>
      <c r="I26" s="8" t="n">
        <v>0</v>
      </c>
      <c r="J26" s="17">
        <f>+I25-J25</f>
        <v/>
      </c>
      <c r="K26" s="17">
        <f>+I25-K25</f>
        <v/>
      </c>
      <c r="L26" s="8" t="n"/>
    </row>
    <row r="27" ht="14.25" customHeight="1" s="29">
      <c r="A27" s="8" t="inlineStr">
        <is>
          <t>Waste Processing Fee/T</t>
        </is>
      </c>
      <c r="B27" s="38" t="n">
        <v>0</v>
      </c>
      <c r="C27" s="3" t="n"/>
      <c r="D27" s="8" t="inlineStr">
        <is>
          <t>Waste Processing Fee</t>
        </is>
      </c>
      <c r="E27" s="17">
        <f>+$B$17*$B$18*$B$27</f>
        <v/>
      </c>
      <c r="F27" s="17">
        <f>+E27/12</f>
        <v/>
      </c>
      <c r="G27" s="3" t="n"/>
      <c r="H27" s="5" t="inlineStr">
        <is>
          <t>One unit of 200T UR machine could prevent at least 76,230 MT of CO2 emission per year.</t>
        </is>
      </c>
      <c r="I27" s="5" t="n"/>
      <c r="J27" s="5" t="n"/>
      <c r="K27" s="5" t="n"/>
      <c r="L27" s="5" t="n"/>
      <c r="M27" s="3" t="n"/>
    </row>
    <row r="28" ht="14.25" customHeight="1" s="29">
      <c r="A28" s="3" t="n"/>
      <c r="B28" s="3" t="n"/>
      <c r="D28" s="5" t="inlineStr">
        <is>
          <t>Total</t>
        </is>
      </c>
      <c r="E28" s="20">
        <f>SUM(E23:E27)</f>
        <v/>
      </c>
      <c r="F28" s="20">
        <f>SUM(F23:F27)</f>
        <v/>
      </c>
    </row>
    <row r="29" ht="14.25" customHeight="1" s="29">
      <c r="A29" s="3" t="n"/>
      <c r="B29" s="2" t="n"/>
      <c r="H29" s="2" t="n"/>
    </row>
    <row r="30" ht="14.25" customHeight="1" s="29">
      <c r="A30" s="3" t="n"/>
      <c r="B30" s="4" t="n"/>
    </row>
    <row r="31" ht="14.25" customHeight="1" s="29">
      <c r="B31" s="2" t="n"/>
    </row>
    <row r="32" ht="14.25" customHeight="1" s="29">
      <c r="B32" s="2" t="n"/>
    </row>
    <row r="33" ht="14.25" customHeight="1" s="29">
      <c r="A33" s="3" t="n"/>
      <c r="B33" s="4" t="n"/>
    </row>
    <row r="34" ht="14.25" customHeight="1" s="29">
      <c r="B34" s="2" t="n"/>
    </row>
    <row r="35" ht="14.25" customHeight="1" s="29">
      <c r="B35" s="2" t="n"/>
    </row>
    <row r="36" ht="14.25" customHeight="1" s="29">
      <c r="B36" s="2" t="n"/>
    </row>
    <row r="37" ht="14.25" customHeight="1" s="29">
      <c r="B37" s="2" t="n"/>
    </row>
    <row r="38" ht="14.25" customHeight="1" s="29">
      <c r="B38" s="2" t="n"/>
    </row>
    <row r="39" ht="14.25" customHeight="1" s="29">
      <c r="B39" s="2" t="n"/>
    </row>
    <row r="40" ht="14.25" customHeight="1" s="29">
      <c r="B40" s="2" t="n"/>
    </row>
    <row r="41" ht="14.25" customHeight="1" s="29">
      <c r="B41" s="2" t="n"/>
    </row>
    <row r="42" ht="14.25" customHeight="1" s="29">
      <c r="B42" s="2" t="n"/>
    </row>
    <row r="43" ht="14.25" customHeight="1" s="29">
      <c r="B43" s="2" t="n"/>
    </row>
    <row r="44" ht="14.25" customHeight="1" s="29">
      <c r="B44" s="2" t="n"/>
    </row>
    <row r="45" ht="14.25" customHeight="1" s="29">
      <c r="B45" s="2" t="n"/>
    </row>
    <row r="46" ht="14.25" customHeight="1" s="29">
      <c r="B46" s="2" t="n"/>
    </row>
    <row r="47" ht="14.25" customHeight="1" s="29">
      <c r="B47" s="2" t="n"/>
    </row>
    <row r="48" ht="14.25" customHeight="1" s="29">
      <c r="B48" s="2" t="n"/>
    </row>
    <row r="49" ht="14.25" customHeight="1" s="29">
      <c r="B49" s="2" t="n"/>
    </row>
    <row r="50" ht="14.25" customHeight="1" s="29">
      <c r="B50" s="2" t="n"/>
    </row>
    <row r="51" ht="14.25" customHeight="1" s="29">
      <c r="B51" s="2" t="n"/>
    </row>
    <row r="52" ht="14.25" customHeight="1" s="29">
      <c r="B52" s="2" t="n"/>
    </row>
    <row r="53" ht="14.25" customHeight="1" s="29">
      <c r="B53" s="2" t="n"/>
    </row>
    <row r="54" ht="14.25" customHeight="1" s="29">
      <c r="B54" s="2" t="n"/>
    </row>
    <row r="55" ht="14.25" customHeight="1" s="29">
      <c r="B55" s="2" t="n"/>
    </row>
    <row r="56" ht="14.25" customHeight="1" s="29">
      <c r="B56" s="2" t="n"/>
    </row>
    <row r="57" ht="14.25" customHeight="1" s="29">
      <c r="B57" s="2" t="n"/>
    </row>
    <row r="58" ht="14.25" customHeight="1" s="29">
      <c r="B58" s="2" t="n"/>
    </row>
    <row r="59" ht="14.25" customHeight="1" s="29">
      <c r="B59" s="2" t="n"/>
    </row>
    <row r="60" ht="14.25" customHeight="1" s="29">
      <c r="B60" s="2" t="n"/>
    </row>
    <row r="61" ht="14.25" customHeight="1" s="29">
      <c r="B61" s="2" t="n"/>
    </row>
    <row r="62" ht="14.25" customHeight="1" s="29">
      <c r="B62" s="2" t="n"/>
    </row>
    <row r="63" ht="14.25" customHeight="1" s="29">
      <c r="B63" s="2" t="n"/>
    </row>
    <row r="64" ht="14.25" customHeight="1" s="29">
      <c r="B64" s="2" t="n"/>
    </row>
    <row r="65" ht="14.25" customHeight="1" s="29">
      <c r="B65" s="2" t="n"/>
    </row>
    <row r="66" ht="14.25" customHeight="1" s="29">
      <c r="B66" s="2" t="n"/>
    </row>
    <row r="67" ht="14.25" customHeight="1" s="29">
      <c r="B67" s="2" t="n"/>
    </row>
    <row r="68" ht="14.25" customHeight="1" s="29">
      <c r="B68" s="2" t="n"/>
    </row>
    <row r="69" ht="14.25" customHeight="1" s="29">
      <c r="B69" s="2" t="n"/>
    </row>
    <row r="70" ht="14.25" customHeight="1" s="29">
      <c r="B70" s="2" t="n"/>
    </row>
    <row r="71" ht="14.25" customHeight="1" s="29">
      <c r="B71" s="2" t="n"/>
    </row>
    <row r="72" ht="14.25" customHeight="1" s="29">
      <c r="B72" s="2" t="n"/>
    </row>
    <row r="73" ht="14.25" customHeight="1" s="29">
      <c r="B73" s="2" t="n"/>
    </row>
    <row r="74" ht="14.25" customHeight="1" s="29">
      <c r="B74" s="2" t="n"/>
    </row>
    <row r="75" ht="14.25" customHeight="1" s="29">
      <c r="B75" s="2" t="n"/>
    </row>
    <row r="76" ht="14.25" customHeight="1" s="29">
      <c r="B76" s="2" t="n"/>
    </row>
    <row r="77" ht="14.25" customHeight="1" s="29">
      <c r="B77" s="2" t="n"/>
    </row>
    <row r="78" ht="14.25" customHeight="1" s="29">
      <c r="B78" s="2" t="n"/>
    </row>
    <row r="79" ht="14.25" customHeight="1" s="29">
      <c r="B79" s="2" t="n"/>
    </row>
    <row r="80" ht="14.25" customHeight="1" s="29">
      <c r="B80" s="2" t="n"/>
    </row>
    <row r="81" ht="14.25" customHeight="1" s="29">
      <c r="B81" s="2" t="n"/>
    </row>
    <row r="82" ht="14.25" customHeight="1" s="29">
      <c r="B82" s="2" t="n"/>
    </row>
    <row r="83" ht="14.25" customHeight="1" s="29">
      <c r="B83" s="2" t="n"/>
    </row>
    <row r="84" ht="14.25" customHeight="1" s="29">
      <c r="B84" s="2" t="n"/>
    </row>
    <row r="85" ht="14.25" customHeight="1" s="29">
      <c r="B85" s="2" t="n"/>
    </row>
    <row r="86" ht="14.25" customHeight="1" s="29">
      <c r="B86" s="2" t="n"/>
    </row>
    <row r="87" ht="14.25" customHeight="1" s="29">
      <c r="B87" s="2" t="n"/>
    </row>
    <row r="88" ht="14.25" customHeight="1" s="29">
      <c r="B88" s="2" t="n"/>
    </row>
    <row r="89" ht="14.25" customHeight="1" s="29">
      <c r="B89" s="2" t="n"/>
    </row>
    <row r="90" ht="14.25" customHeight="1" s="29">
      <c r="B90" s="2" t="n"/>
    </row>
    <row r="91" ht="14.25" customHeight="1" s="29">
      <c r="B91" s="2" t="n"/>
    </row>
    <row r="92" ht="14.25" customHeight="1" s="29">
      <c r="B92" s="2" t="n"/>
    </row>
    <row r="93" ht="14.25" customHeight="1" s="29">
      <c r="B93" s="2" t="n"/>
    </row>
    <row r="94" ht="14.25" customHeight="1" s="29">
      <c r="B94" s="2" t="n"/>
    </row>
    <row r="95" ht="14.25" customHeight="1" s="29">
      <c r="B95" s="2" t="n"/>
    </row>
    <row r="96" ht="14.25" customHeight="1" s="29">
      <c r="B96" s="2" t="n"/>
    </row>
    <row r="97" ht="14.25" customHeight="1" s="29">
      <c r="B97" s="2" t="n"/>
    </row>
    <row r="98" ht="14.25" customHeight="1" s="29">
      <c r="B98" s="2" t="n"/>
    </row>
    <row r="99" ht="14.25" customHeight="1" s="29">
      <c r="B99" s="2" t="n"/>
    </row>
    <row r="100" ht="14.25" customHeight="1" s="29">
      <c r="B100" s="2" t="n"/>
    </row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25" right="0.25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ColWidth="12.63" defaultRowHeight="15" customHeight="1"/>
  <cols>
    <col width="22.13" customWidth="1" style="29" min="1" max="1"/>
    <col width="12.75" customWidth="1" style="29" min="2" max="2"/>
    <col width="1.75" customWidth="1" style="29" min="3" max="3"/>
    <col width="22.75" customWidth="1" style="29" min="4" max="4"/>
    <col width="12.25" customWidth="1" style="29" min="5" max="5"/>
    <col width="11.75" customWidth="1" style="29" min="6" max="6"/>
    <col width="1.13" customWidth="1" style="29" min="7" max="7"/>
    <col width="19.13" customWidth="1" style="29" min="8" max="8"/>
    <col width="15.25" customWidth="1" style="29" min="9" max="9"/>
    <col width="14.13" customWidth="1" style="29" min="10" max="10"/>
    <col width="12.75" customWidth="1" style="29" min="11" max="13"/>
    <col width="14.38" customWidth="1" style="29" min="14" max="26"/>
  </cols>
  <sheetData>
    <row r="1" ht="14.25" customHeight="1" s="29">
      <c r="A1" s="1" t="inlineStr">
        <is>
          <t>Worksheet for 200MT UR in USD</t>
        </is>
      </c>
      <c r="B1" s="2" t="n"/>
    </row>
    <row r="2" ht="14.25" customHeight="1" s="29">
      <c r="A2" s="3" t="inlineStr">
        <is>
          <t>Machine Capacity (T)</t>
        </is>
      </c>
      <c r="B2" s="4" t="n">
        <v>200</v>
      </c>
    </row>
    <row r="3" ht="14.25" customHeight="1" s="29">
      <c r="A3" s="5" t="inlineStr">
        <is>
          <t>Investment/Financial</t>
        </is>
      </c>
      <c r="B3" s="6" t="n"/>
      <c r="D3" s="5" t="inlineStr">
        <is>
          <t>CAPEX</t>
        </is>
      </c>
      <c r="E3" s="7" t="inlineStr">
        <is>
          <t>Per Annum</t>
        </is>
      </c>
      <c r="F3" s="3" t="n"/>
      <c r="H3" s="5" t="inlineStr">
        <is>
          <t>Profit &amp; Loss</t>
        </is>
      </c>
      <c r="I3" s="5" t="inlineStr">
        <is>
          <t>Per Year</t>
        </is>
      </c>
      <c r="J3" s="5" t="inlineStr">
        <is>
          <t xml:space="preserve">Per Month </t>
        </is>
      </c>
    </row>
    <row r="4" ht="14.25" customHeight="1" s="29">
      <c r="A4" s="8" t="inlineStr">
        <is>
          <t>Machine cost</t>
        </is>
      </c>
      <c r="B4" s="6">
        <f>60000000*$B$2/200</f>
        <v/>
      </c>
      <c r="D4" s="8" t="inlineStr">
        <is>
          <t>UR machine price</t>
        </is>
      </c>
      <c r="E4" s="9">
        <f>+$B$4</f>
        <v/>
      </c>
      <c r="H4" s="8" t="inlineStr">
        <is>
          <t>Incomes Sources</t>
        </is>
      </c>
      <c r="I4" s="10">
        <f>+$E$28</f>
        <v/>
      </c>
      <c r="J4" s="10">
        <f>+I4/12</f>
        <v/>
      </c>
    </row>
    <row r="5" ht="14.25" customHeight="1" s="29">
      <c r="A5" s="8" t="inlineStr">
        <is>
          <t>Bank loan %</t>
        </is>
      </c>
      <c r="B5" s="12" t="n">
        <v>0.7</v>
      </c>
      <c r="D5" s="8" t="inlineStr">
        <is>
          <t>Installation</t>
        </is>
      </c>
      <c r="E5" s="6">
        <f>200000*$B$2/200</f>
        <v/>
      </c>
      <c r="H5" s="8" t="inlineStr">
        <is>
          <t>Capex (depreciation)</t>
        </is>
      </c>
      <c r="I5" s="10">
        <f>+$E$10/10</f>
        <v/>
      </c>
      <c r="J5" s="10">
        <f>+I5/12</f>
        <v/>
      </c>
    </row>
    <row r="6" ht="14.25" customHeight="1" s="29">
      <c r="A6" s="8" t="inlineStr">
        <is>
          <t xml:space="preserve">Loan Amount </t>
        </is>
      </c>
      <c r="B6" s="9">
        <f>+$B$4*$B$5</f>
        <v/>
      </c>
      <c r="D6" s="8" t="inlineStr">
        <is>
          <t>Freight</t>
        </is>
      </c>
      <c r="E6" s="6">
        <f>400000*$B$2/200</f>
        <v/>
      </c>
      <c r="H6" s="8" t="inlineStr">
        <is>
          <t>Opex</t>
        </is>
      </c>
      <c r="I6" s="10">
        <f>+$E$18</f>
        <v/>
      </c>
      <c r="J6" s="10">
        <f>+I6/12</f>
        <v/>
      </c>
    </row>
    <row r="7" ht="14.25" customHeight="1" s="29">
      <c r="A7" s="8" t="inlineStr">
        <is>
          <t>Interest Rate</t>
        </is>
      </c>
      <c r="B7" s="26" t="n">
        <v>0.005</v>
      </c>
      <c r="D7" s="8" t="inlineStr">
        <is>
          <t>Training package</t>
        </is>
      </c>
      <c r="E7" s="6">
        <f>300000*$B$2/200</f>
        <v/>
      </c>
      <c r="H7" s="8" t="inlineStr">
        <is>
          <t>Interest cost</t>
        </is>
      </c>
      <c r="I7" s="10">
        <f>(+$B$6/120+$B$8)*12</f>
        <v/>
      </c>
      <c r="J7" s="10">
        <f>+I7/12</f>
        <v/>
      </c>
    </row>
    <row r="8" ht="14.25" customHeight="1" s="29">
      <c r="A8" s="8" t="inlineStr">
        <is>
          <t>Monthly installment</t>
        </is>
      </c>
      <c r="B8" s="9">
        <f>PMT(+$B$7/12,120,+$B$6,0,0)</f>
        <v/>
      </c>
      <c r="D8" s="8" t="inlineStr">
        <is>
          <t>Accessories</t>
        </is>
      </c>
      <c r="E8" s="6">
        <f>2000000*$B$2/200</f>
        <v/>
      </c>
      <c r="H8" s="5" t="inlineStr">
        <is>
          <t>Profit (Loss)</t>
        </is>
      </c>
      <c r="I8" s="13">
        <f>+I4-I5-I6+I7</f>
        <v/>
      </c>
      <c r="J8" s="10">
        <f>+I8/12</f>
        <v/>
      </c>
    </row>
    <row r="9" ht="14.25" customHeight="1" s="29">
      <c r="A9" s="8" t="inlineStr">
        <is>
          <t>Initial machine investment</t>
        </is>
      </c>
      <c r="B9" s="9">
        <f>+$B$4-$B$6</f>
        <v/>
      </c>
      <c r="D9" s="8" t="inlineStr">
        <is>
          <t>Building cost</t>
        </is>
      </c>
      <c r="E9" s="6" t="n">
        <v>5000000</v>
      </c>
    </row>
    <row r="10" ht="14.25" customHeight="1" s="29">
      <c r="B10" s="2" t="n"/>
      <c r="D10" s="5" t="inlineStr">
        <is>
          <t>TOTAL</t>
        </is>
      </c>
      <c r="E10" s="7">
        <f>SUM(E4:E9)</f>
        <v/>
      </c>
    </row>
    <row r="11" ht="14.25" customHeight="1" s="29">
      <c r="A11" s="5" t="inlineStr">
        <is>
          <t>Waste profile/operation (to be updated)</t>
        </is>
      </c>
      <c r="B11" s="6" t="n"/>
    </row>
    <row r="12" ht="14.25" customHeight="1" s="29">
      <c r="A12" s="8" t="inlineStr">
        <is>
          <t xml:space="preserve"> - Plastic</t>
        </is>
      </c>
      <c r="B12" s="16" t="n">
        <v>0.3</v>
      </c>
      <c r="D12" s="5" t="inlineStr">
        <is>
          <t>OPEX</t>
        </is>
      </c>
      <c r="E12" s="7" t="inlineStr">
        <is>
          <t>Per Annum</t>
        </is>
      </c>
      <c r="F12" s="5" t="inlineStr">
        <is>
          <t>Per Month</t>
        </is>
      </c>
      <c r="H12" s="5" t="inlineStr">
        <is>
          <t>ROI</t>
        </is>
      </c>
      <c r="I12" s="15">
        <f>+$I$8/$B$9</f>
        <v/>
      </c>
    </row>
    <row r="13" ht="14.25" customHeight="1" s="29">
      <c r="A13" s="8" t="inlineStr">
        <is>
          <t xml:space="preserve"> - Other inorganic</t>
        </is>
      </c>
      <c r="B13" s="16" t="n">
        <v>0.7</v>
      </c>
      <c r="D13" s="8" t="inlineStr">
        <is>
          <t>Maintenance</t>
        </is>
      </c>
      <c r="E13" s="9">
        <f>+$E$4*0.04</f>
        <v/>
      </c>
      <c r="F13" s="17">
        <f>+E13/12</f>
        <v/>
      </c>
      <c r="H13" s="5" t="inlineStr">
        <is>
          <t>Payback Period (year)</t>
        </is>
      </c>
      <c r="I13" s="36">
        <f>+$B$9/$I$8</f>
        <v/>
      </c>
    </row>
    <row r="14" ht="14.25" customHeight="1" s="29">
      <c r="A14" s="8" t="inlineStr">
        <is>
          <t xml:space="preserve"> - Metals</t>
        </is>
      </c>
      <c r="B14" s="16" t="n">
        <v>0</v>
      </c>
      <c r="D14" s="8" t="inlineStr">
        <is>
          <t xml:space="preserve">Manpower </t>
        </is>
      </c>
      <c r="E14" s="6">
        <f>1200000*$B$2/200</f>
        <v/>
      </c>
      <c r="F14" s="17">
        <f>+E14/12</f>
        <v/>
      </c>
    </row>
    <row r="15" ht="14.25" customHeight="1" s="29">
      <c r="A15" s="8" t="inlineStr">
        <is>
          <t xml:space="preserve"> - silica/sands</t>
        </is>
      </c>
      <c r="B15" s="12" t="n">
        <v>0</v>
      </c>
      <c r="D15" s="8" t="inlineStr">
        <is>
          <t>Electricity (@0.2)</t>
        </is>
      </c>
      <c r="E15" s="6">
        <f>600*24*+$B$18*0.2*$B$2/200</f>
        <v/>
      </c>
      <c r="F15" s="17">
        <f>+E15/12</f>
        <v/>
      </c>
      <c r="H15" s="3" t="inlineStr">
        <is>
          <t>Cashflow after starting UR operation</t>
        </is>
      </c>
      <c r="J15" s="3" t="n"/>
      <c r="K15" s="3" t="n"/>
      <c r="L15" s="3" t="n"/>
      <c r="M15" s="3" t="n"/>
    </row>
    <row r="16" ht="14.25" customHeight="1" s="29">
      <c r="A16" s="8" t="inlineStr">
        <is>
          <t>Density of input waste</t>
        </is>
      </c>
      <c r="B16" s="19" t="n">
        <v>0.7</v>
      </c>
      <c r="D16" s="8" t="inlineStr">
        <is>
          <t>Plastic waste purchase</t>
        </is>
      </c>
      <c r="E16" s="6">
        <f>+$B$17*$B$18*$B$26</f>
        <v/>
      </c>
      <c r="F16" s="17">
        <f>+E16/12</f>
        <v/>
      </c>
      <c r="H16" s="8" t="n"/>
      <c r="I16" s="5" t="inlineStr">
        <is>
          <t xml:space="preserve">Per Year </t>
        </is>
      </c>
      <c r="J16" s="5" t="inlineStr">
        <is>
          <t>Per Month</t>
        </is>
      </c>
      <c r="K16" s="2" t="n"/>
    </row>
    <row r="17" ht="14.25" customHeight="1" s="29">
      <c r="A17" s="8" t="inlineStr">
        <is>
          <t>Daily waste input</t>
        </is>
      </c>
      <c r="B17" s="9">
        <f>+$B$16*$B$2</f>
        <v/>
      </c>
      <c r="D17" s="8" t="inlineStr">
        <is>
          <t>Others</t>
        </is>
      </c>
      <c r="E17" s="6" t="n">
        <v>1000000</v>
      </c>
      <c r="F17" s="17">
        <f>+E17/12</f>
        <v/>
      </c>
      <c r="H17" s="8" t="inlineStr">
        <is>
          <t>Income/Revenue</t>
        </is>
      </c>
      <c r="I17" s="10">
        <f>+$I$4</f>
        <v/>
      </c>
      <c r="J17" s="10">
        <f>+I17/12</f>
        <v/>
      </c>
      <c r="K17" s="4" t="n"/>
      <c r="L17" s="3" t="n"/>
      <c r="M17" s="3" t="n"/>
    </row>
    <row r="18" ht="14.25" customHeight="1" s="29">
      <c r="A18" s="8" t="inlineStr">
        <is>
          <t>Operation days per annum</t>
        </is>
      </c>
      <c r="B18" s="6" t="n">
        <v>330</v>
      </c>
      <c r="D18" s="5" t="inlineStr">
        <is>
          <t>TOTAL</t>
        </is>
      </c>
      <c r="E18" s="7">
        <f>SUM(E13:E17)</f>
        <v/>
      </c>
      <c r="F18" s="20">
        <f>+E18/12</f>
        <v/>
      </c>
      <c r="H18" s="8" t="inlineStr">
        <is>
          <t>Opex</t>
        </is>
      </c>
      <c r="I18" s="10">
        <f>+$I$6</f>
        <v/>
      </c>
      <c r="J18" s="10">
        <f>+I18/12</f>
        <v/>
      </c>
      <c r="K18" s="21" t="n"/>
    </row>
    <row r="19" ht="14.25" customHeight="1" s="29">
      <c r="B19" s="2" t="n"/>
      <c r="D19" s="21" t="n"/>
      <c r="H19" s="8" t="inlineStr">
        <is>
          <t>Monthly installment</t>
        </is>
      </c>
      <c r="I19" s="10">
        <f>+$B$8*12</f>
        <v/>
      </c>
      <c r="J19" s="10">
        <f>+I19/12</f>
        <v/>
      </c>
      <c r="K19" s="21" t="n"/>
    </row>
    <row r="20" ht="14.25" customHeight="1" s="29">
      <c r="A20" s="5" t="inlineStr">
        <is>
          <t>Market Price (to be updated)</t>
        </is>
      </c>
      <c r="B20" s="8" t="n"/>
      <c r="D20" s="5" t="inlineStr">
        <is>
          <t>INCOME /REVENUE</t>
        </is>
      </c>
      <c r="E20" s="7" t="inlineStr">
        <is>
          <t>Per Annum</t>
        </is>
      </c>
      <c r="F20" s="5" t="inlineStr">
        <is>
          <t>Per Month</t>
        </is>
      </c>
      <c r="H20" s="5" t="inlineStr">
        <is>
          <t xml:space="preserve">Positive cashflow </t>
        </is>
      </c>
      <c r="I20" s="13">
        <f>+I17-I18+I19</f>
        <v/>
      </c>
      <c r="J20" s="13">
        <f>+I20/12</f>
        <v/>
      </c>
      <c r="K20" s="22" t="n"/>
    </row>
    <row r="21" ht="14.25" customHeight="1" s="29">
      <c r="A21" s="8" t="inlineStr">
        <is>
          <t>Waste-fuel/ litre</t>
        </is>
      </c>
      <c r="B21" s="37" t="n">
        <v>0.41</v>
      </c>
      <c r="D21" s="8" t="inlineStr">
        <is>
          <t>Heavy  oil generated (0.41/l)</t>
        </is>
      </c>
      <c r="E21" s="17">
        <f>+$B$17*+$B$18*$B$12*0.85*1000</f>
        <v/>
      </c>
      <c r="F21" s="17">
        <f>+E21/12</f>
        <v/>
      </c>
      <c r="J21" s="3" t="n"/>
      <c r="K21" s="4" t="n"/>
      <c r="L21" s="3" t="n"/>
    </row>
    <row r="22" ht="14.25" customHeight="1" s="29">
      <c r="A22" s="8" t="inlineStr">
        <is>
          <t>Charcoal/T</t>
        </is>
      </c>
      <c r="B22" s="37" t="n">
        <v>100</v>
      </c>
      <c r="D22" s="8" t="inlineStr">
        <is>
          <t>Internal consumption</t>
        </is>
      </c>
      <c r="E22" s="17">
        <f>10000*+$B$2/200*+$B$18</f>
        <v/>
      </c>
      <c r="F22" s="17">
        <f>+E22/12</f>
        <v/>
      </c>
      <c r="K22" s="2" t="n"/>
    </row>
    <row r="23" ht="14.25" customHeight="1" s="29">
      <c r="A23" s="8" t="inlineStr">
        <is>
          <t>Metals/T</t>
        </is>
      </c>
      <c r="B23" s="37" t="n">
        <v>800</v>
      </c>
      <c r="D23" s="8" t="inlineStr">
        <is>
          <t xml:space="preserve">Heavy Oil for sales </t>
        </is>
      </c>
      <c r="E23" s="17">
        <f>(+$E$21-$E$22)</f>
        <v/>
      </c>
      <c r="F23" s="17">
        <f>+E23/12</f>
        <v/>
      </c>
      <c r="H23" s="8" t="inlineStr">
        <is>
          <t>CO2 Emission</t>
        </is>
      </c>
      <c r="I23" s="8" t="inlineStr">
        <is>
          <t>Incinerator</t>
        </is>
      </c>
      <c r="J23" s="8" t="inlineStr">
        <is>
          <t>UR (internal oil)</t>
        </is>
      </c>
      <c r="K23" s="8" t="inlineStr">
        <is>
          <t>UR (electric)</t>
        </is>
      </c>
      <c r="L23" s="8" t="n"/>
    </row>
    <row r="24" ht="14.25" customHeight="1" s="29">
      <c r="A24" s="8" t="inlineStr">
        <is>
          <t>Carbon Credit</t>
        </is>
      </c>
      <c r="B24" s="37" t="n">
        <v>50</v>
      </c>
      <c r="D24" s="8" t="inlineStr">
        <is>
          <t xml:space="preserve">Carbide for sales </t>
        </is>
      </c>
      <c r="E24" s="17">
        <f>+$B$17*$B$18*$B$13*0.25*$B$22</f>
        <v/>
      </c>
      <c r="F24" s="17">
        <f>+E24/12</f>
        <v/>
      </c>
      <c r="H24" s="8" t="inlineStr">
        <is>
          <t>CO2 per 1MT of waste</t>
        </is>
      </c>
      <c r="I24" s="8" t="n">
        <v>1.8</v>
      </c>
      <c r="J24" s="8">
        <f>0.05*3</f>
        <v/>
      </c>
      <c r="K24" s="8" t="n">
        <v>0</v>
      </c>
      <c r="L24" s="8" t="n"/>
    </row>
    <row r="25" ht="14.25" customHeight="1" s="29">
      <c r="A25" s="8" t="inlineStr">
        <is>
          <t>CO2 / 1MT of waste</t>
        </is>
      </c>
      <c r="B25" s="8" t="n">
        <v>1.8</v>
      </c>
      <c r="D25" s="8" t="inlineStr">
        <is>
          <t>Metals for sales</t>
        </is>
      </c>
      <c r="E25" s="17">
        <f>+$B$17*$B$18*$B$14*$B$23</f>
        <v/>
      </c>
      <c r="F25" s="17">
        <f>+E25/12</f>
        <v/>
      </c>
      <c r="H25" s="8" t="inlineStr">
        <is>
          <t xml:space="preserve">Annual CO2 </t>
        </is>
      </c>
      <c r="I25" s="17">
        <f>+$B$17*$B$18*$I$24</f>
        <v/>
      </c>
      <c r="J25" s="17">
        <f>+$B$17*$B$18*$J$24</f>
        <v/>
      </c>
      <c r="K25" s="17">
        <f>+$B$17*$B$18*K2</f>
        <v/>
      </c>
      <c r="L25" s="8" t="n"/>
    </row>
    <row r="26" ht="14.25" customHeight="1" s="29">
      <c r="A26" s="8" t="inlineStr">
        <is>
          <t>Plastic waste purchase/T</t>
        </is>
      </c>
      <c r="B26" s="37" t="n">
        <v>0</v>
      </c>
      <c r="D26" s="8" t="inlineStr">
        <is>
          <t xml:space="preserve">Carbon Credit </t>
        </is>
      </c>
      <c r="E26" s="17">
        <f>(+$B$17-47*$B$2/200)*$B$18*+$B$25*$B$24</f>
        <v/>
      </c>
      <c r="F26" s="17">
        <f>+E26/12</f>
        <v/>
      </c>
      <c r="H26" s="8" t="inlineStr">
        <is>
          <t>CO2 reduction</t>
        </is>
      </c>
      <c r="I26" s="8" t="n">
        <v>0</v>
      </c>
      <c r="J26" s="17">
        <f>+I25-J25</f>
        <v/>
      </c>
      <c r="K26" s="17">
        <f>+I25-K25</f>
        <v/>
      </c>
      <c r="L26" s="8" t="n"/>
    </row>
    <row r="27" ht="14.25" customHeight="1" s="29">
      <c r="A27" s="8" t="inlineStr">
        <is>
          <t>Waste Processing Fee/T</t>
        </is>
      </c>
      <c r="B27" s="38" t="n">
        <v>350</v>
      </c>
      <c r="C27" s="3" t="n"/>
      <c r="D27" s="8" t="inlineStr">
        <is>
          <t>Waste Processing Fee</t>
        </is>
      </c>
      <c r="E27" s="17">
        <f>+$B$17*$B$18*$B$27</f>
        <v/>
      </c>
      <c r="F27" s="17">
        <f>+E27/12</f>
        <v/>
      </c>
      <c r="G27" s="3" t="n"/>
      <c r="H27" s="5" t="inlineStr">
        <is>
          <t>One unit of 200T UR machine could prevent at least 76,230 MT of CO2 emission per year.</t>
        </is>
      </c>
      <c r="I27" s="5" t="n"/>
      <c r="J27" s="5" t="n"/>
      <c r="K27" s="5" t="n"/>
      <c r="L27" s="5" t="n"/>
      <c r="M27" s="3" t="n"/>
    </row>
    <row r="28" ht="14.25" customHeight="1" s="29">
      <c r="A28" s="3" t="n"/>
      <c r="B28" s="3" t="n"/>
      <c r="D28" s="5" t="inlineStr">
        <is>
          <t>Total</t>
        </is>
      </c>
      <c r="E28" s="20">
        <f>SUM(E23:E27)</f>
        <v/>
      </c>
      <c r="F28" s="20">
        <f>SUM(F23:F27)</f>
        <v/>
      </c>
    </row>
    <row r="29" ht="14.25" customHeight="1" s="29">
      <c r="A29" s="3" t="n"/>
      <c r="B29" s="2" t="n"/>
      <c r="H29" s="2" t="n"/>
    </row>
    <row r="30" ht="14.25" customHeight="1" s="29">
      <c r="A30" s="3" t="n"/>
      <c r="B30" s="4" t="n"/>
    </row>
    <row r="31" ht="14.25" customHeight="1" s="29">
      <c r="B31" s="2" t="n"/>
      <c r="D31" s="28" t="inlineStr">
        <is>
          <t>pour innigham</t>
        </is>
      </c>
      <c r="E31" s="28">
        <f>E23*10</f>
        <v/>
      </c>
    </row>
    <row r="32" ht="14.25" customHeight="1" s="29">
      <c r="B32" s="2" t="n"/>
    </row>
    <row r="33" ht="14.25" customHeight="1" s="29">
      <c r="A33" s="3" t="n"/>
      <c r="B33" s="4" t="n"/>
    </row>
    <row r="34" ht="14.25" customHeight="1" s="29">
      <c r="B34" s="2" t="n"/>
    </row>
    <row r="35" ht="14.25" customHeight="1" s="29">
      <c r="B35" s="2" t="n"/>
    </row>
    <row r="36" ht="14.25" customHeight="1" s="29">
      <c r="B36" s="2" t="n"/>
    </row>
    <row r="37" ht="14.25" customHeight="1" s="29">
      <c r="B37" s="2" t="n"/>
    </row>
    <row r="38" ht="14.25" customHeight="1" s="29">
      <c r="B38" s="2" t="n"/>
    </row>
    <row r="39" ht="14.25" customHeight="1" s="29">
      <c r="B39" s="2" t="n"/>
    </row>
    <row r="40" ht="14.25" customHeight="1" s="29">
      <c r="B40" s="2" t="n"/>
    </row>
    <row r="41" ht="14.25" customHeight="1" s="29">
      <c r="B41" s="2" t="n"/>
    </row>
    <row r="42" ht="14.25" customHeight="1" s="29">
      <c r="B42" s="2" t="n"/>
    </row>
    <row r="43" ht="14.25" customHeight="1" s="29">
      <c r="B43" s="2" t="n"/>
    </row>
    <row r="44" ht="14.25" customHeight="1" s="29">
      <c r="B44" s="2" t="n"/>
    </row>
    <row r="45" ht="14.25" customHeight="1" s="29">
      <c r="B45" s="2" t="n"/>
    </row>
    <row r="46" ht="14.25" customHeight="1" s="29">
      <c r="B46" s="2" t="n"/>
    </row>
    <row r="47" ht="14.25" customHeight="1" s="29">
      <c r="B47" s="2" t="n"/>
    </row>
    <row r="48" ht="14.25" customHeight="1" s="29">
      <c r="B48" s="2" t="n"/>
    </row>
    <row r="49" ht="14.25" customHeight="1" s="29">
      <c r="B49" s="2" t="n"/>
    </row>
    <row r="50" ht="14.25" customHeight="1" s="29">
      <c r="B50" s="2" t="n"/>
    </row>
    <row r="51" ht="14.25" customHeight="1" s="29">
      <c r="B51" s="2" t="n"/>
    </row>
    <row r="52" ht="14.25" customHeight="1" s="29">
      <c r="B52" s="2" t="n"/>
    </row>
    <row r="53" ht="14.25" customHeight="1" s="29">
      <c r="B53" s="2" t="n"/>
    </row>
    <row r="54" ht="14.25" customHeight="1" s="29">
      <c r="B54" s="2" t="n"/>
    </row>
    <row r="55" ht="14.25" customHeight="1" s="29">
      <c r="B55" s="2" t="n"/>
    </row>
    <row r="56" ht="14.25" customHeight="1" s="29">
      <c r="B56" s="2" t="n"/>
    </row>
    <row r="57" ht="14.25" customHeight="1" s="29">
      <c r="B57" s="2" t="n"/>
    </row>
    <row r="58" ht="14.25" customHeight="1" s="29">
      <c r="B58" s="2" t="n"/>
    </row>
    <row r="59" ht="14.25" customHeight="1" s="29">
      <c r="B59" s="2" t="n"/>
    </row>
    <row r="60" ht="14.25" customHeight="1" s="29">
      <c r="B60" s="2" t="n"/>
    </row>
    <row r="61" ht="14.25" customHeight="1" s="29">
      <c r="B61" s="2" t="n"/>
    </row>
    <row r="62" ht="14.25" customHeight="1" s="29">
      <c r="B62" s="2" t="n"/>
    </row>
    <row r="63" ht="14.25" customHeight="1" s="29">
      <c r="B63" s="2" t="n"/>
    </row>
    <row r="64" ht="14.25" customHeight="1" s="29">
      <c r="B64" s="2" t="n"/>
    </row>
    <row r="65" ht="14.25" customHeight="1" s="29">
      <c r="B65" s="2" t="n"/>
    </row>
    <row r="66" ht="14.25" customHeight="1" s="29">
      <c r="B66" s="2" t="n"/>
    </row>
    <row r="67" ht="14.25" customHeight="1" s="29">
      <c r="B67" s="2" t="n"/>
    </row>
    <row r="68" ht="14.25" customHeight="1" s="29">
      <c r="B68" s="2" t="n"/>
    </row>
    <row r="69" ht="14.25" customHeight="1" s="29">
      <c r="B69" s="2" t="n"/>
    </row>
    <row r="70" ht="14.25" customHeight="1" s="29">
      <c r="B70" s="2" t="n"/>
    </row>
    <row r="71" ht="14.25" customHeight="1" s="29">
      <c r="B71" s="2" t="n"/>
    </row>
    <row r="72" ht="14.25" customHeight="1" s="29">
      <c r="B72" s="2" t="n"/>
    </row>
    <row r="73" ht="14.25" customHeight="1" s="29">
      <c r="B73" s="2" t="n"/>
    </row>
    <row r="74" ht="14.25" customHeight="1" s="29">
      <c r="B74" s="2" t="n"/>
    </row>
    <row r="75" ht="14.25" customHeight="1" s="29">
      <c r="B75" s="2" t="n"/>
    </row>
    <row r="76" ht="14.25" customHeight="1" s="29">
      <c r="B76" s="2" t="n"/>
    </row>
    <row r="77" ht="14.25" customHeight="1" s="29">
      <c r="B77" s="2" t="n"/>
    </row>
    <row r="78" ht="14.25" customHeight="1" s="29">
      <c r="B78" s="2" t="n"/>
    </row>
    <row r="79" ht="14.25" customHeight="1" s="29">
      <c r="B79" s="2" t="n"/>
    </row>
    <row r="80" ht="14.25" customHeight="1" s="29">
      <c r="B80" s="2" t="n"/>
    </row>
    <row r="81" ht="14.25" customHeight="1" s="29">
      <c r="B81" s="2" t="n"/>
    </row>
    <row r="82" ht="14.25" customHeight="1" s="29">
      <c r="B82" s="2" t="n"/>
    </row>
    <row r="83" ht="14.25" customHeight="1" s="29">
      <c r="B83" s="2" t="n"/>
    </row>
    <row r="84" ht="14.25" customHeight="1" s="29">
      <c r="B84" s="2" t="n"/>
    </row>
    <row r="85" ht="14.25" customHeight="1" s="29">
      <c r="B85" s="2" t="n"/>
    </row>
    <row r="86" ht="14.25" customHeight="1" s="29">
      <c r="B86" s="2" t="n"/>
    </row>
    <row r="87" ht="14.25" customHeight="1" s="29">
      <c r="B87" s="2" t="n"/>
    </row>
    <row r="88" ht="14.25" customHeight="1" s="29">
      <c r="B88" s="2" t="n"/>
    </row>
    <row r="89" ht="14.25" customHeight="1" s="29">
      <c r="B89" s="2" t="n"/>
    </row>
    <row r="90" ht="14.25" customHeight="1" s="29">
      <c r="B90" s="2" t="n"/>
    </row>
    <row r="91" ht="14.25" customHeight="1" s="29">
      <c r="B91" s="2" t="n"/>
    </row>
    <row r="92" ht="14.25" customHeight="1" s="29">
      <c r="B92" s="2" t="n"/>
    </row>
    <row r="93" ht="14.25" customHeight="1" s="29">
      <c r="B93" s="2" t="n"/>
    </row>
    <row r="94" ht="14.25" customHeight="1" s="29">
      <c r="B94" s="2" t="n"/>
    </row>
    <row r="95" ht="14.25" customHeight="1" s="29">
      <c r="B95" s="2" t="n"/>
    </row>
    <row r="96" ht="14.25" customHeight="1" s="29">
      <c r="B96" s="2" t="n"/>
    </row>
    <row r="97" ht="14.25" customHeight="1" s="29">
      <c r="B97" s="2" t="n"/>
    </row>
    <row r="98" ht="14.25" customHeight="1" s="29">
      <c r="B98" s="2" t="n"/>
    </row>
    <row r="99" ht="14.25" customHeight="1" s="29">
      <c r="B99" s="2" t="n"/>
    </row>
    <row r="100" ht="14.25" customHeight="1" s="29">
      <c r="B100" s="2" t="n"/>
    </row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2024-01-25T06:51:08Z</dcterms:created>
  <dcterms:modified xsi:type="dcterms:W3CDTF">2026-02-28T13:54:07Z</dcterms:modified>
</cp:coreProperties>
</file>