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T-Luftanssa (2)" sheetId="1" r:id="rId4"/>
    <sheet state="visible" name="Copy of 200T-Luftanssa (2)" sheetId="2" r:id="rId5"/>
  </sheets>
  <definedNames/>
  <calcPr/>
  <extLst>
    <ext uri="GoogleSheetsCustomDataVersion2">
      <go:sheetsCustomData xmlns:go="http://customooxmlschemas.google.com/" r:id="rId6" roundtripDataChecksum="ykeOvr055uA8r7C/hgsK+j3PQlARoHCeq0kFtZu8vN8="/>
    </ext>
  </extLst>
</workbook>
</file>

<file path=xl/sharedStrings.xml><?xml version="1.0" encoding="utf-8"?>
<sst xmlns="http://schemas.openxmlformats.org/spreadsheetml/2006/main" count="159" uniqueCount="73">
  <si>
    <t>Worksheet for 200MT UR in USD</t>
  </si>
  <si>
    <t>Machine Capacity (T)</t>
  </si>
  <si>
    <t>Investment/Financial</t>
  </si>
  <si>
    <t>CAPEX</t>
  </si>
  <si>
    <t>Per Annum</t>
  </si>
  <si>
    <t>Profit &amp; Loss</t>
  </si>
  <si>
    <t>Per Year</t>
  </si>
  <si>
    <t xml:space="preserve">Per Month </t>
  </si>
  <si>
    <t>Machine cost</t>
  </si>
  <si>
    <t>UR machine price</t>
  </si>
  <si>
    <t>Incomes Sources</t>
  </si>
  <si>
    <t>Bank loan %</t>
  </si>
  <si>
    <t>Installation</t>
  </si>
  <si>
    <t>Capex (depreciation)</t>
  </si>
  <si>
    <t xml:space="preserve">Loan Amount </t>
  </si>
  <si>
    <t>Freight</t>
  </si>
  <si>
    <t>Opex</t>
  </si>
  <si>
    <t>Interest Rate</t>
  </si>
  <si>
    <t>Training package</t>
  </si>
  <si>
    <t>Interest cost</t>
  </si>
  <si>
    <t>Monthly installment</t>
  </si>
  <si>
    <t>Accessories</t>
  </si>
  <si>
    <t>Profit (Loss)</t>
  </si>
  <si>
    <t>Initial machine investment</t>
  </si>
  <si>
    <t>Building cost</t>
  </si>
  <si>
    <t>TOTAL</t>
  </si>
  <si>
    <t>Waste profile/operation (to be updated)</t>
  </si>
  <si>
    <t xml:space="preserve"> - Plastic</t>
  </si>
  <si>
    <t>OPEX</t>
  </si>
  <si>
    <t>Per Month</t>
  </si>
  <si>
    <t>ROI</t>
  </si>
  <si>
    <t xml:space="preserve"> - Other inorganic</t>
  </si>
  <si>
    <t>Maintenance</t>
  </si>
  <si>
    <t>Payback Period (year)</t>
  </si>
  <si>
    <t xml:space="preserve"> - Metals</t>
  </si>
  <si>
    <t xml:space="preserve">Manpower </t>
  </si>
  <si>
    <t xml:space="preserve"> - silica/sands</t>
  </si>
  <si>
    <t>Electricity (@0.2)</t>
  </si>
  <si>
    <t>Cashflow after starting UR operation</t>
  </si>
  <si>
    <t>Density of input waste</t>
  </si>
  <si>
    <t>Plastic waste purchase</t>
  </si>
  <si>
    <t xml:space="preserve">Per Year </t>
  </si>
  <si>
    <t>Daily waste input</t>
  </si>
  <si>
    <t>Others</t>
  </si>
  <si>
    <t>Income/Revenue</t>
  </si>
  <si>
    <t>Operation days per annum</t>
  </si>
  <si>
    <t>Market Price (to be updated)</t>
  </si>
  <si>
    <t>INCOME /REVENUE</t>
  </si>
  <si>
    <t xml:space="preserve">Positive cashflow </t>
  </si>
  <si>
    <t>Waste-fuel/ litre</t>
  </si>
  <si>
    <t>Heavy  oil generated (0.41/l)</t>
  </si>
  <si>
    <t>Charcoal/T</t>
  </si>
  <si>
    <t>Internal consumption</t>
  </si>
  <si>
    <t>Metals/T</t>
  </si>
  <si>
    <t xml:space="preserve">Heavy Oil for sales </t>
  </si>
  <si>
    <t>CO2 Emission</t>
  </si>
  <si>
    <t>Incinerator</t>
  </si>
  <si>
    <t>UR (internal oil)</t>
  </si>
  <si>
    <t>UR (electric)</t>
  </si>
  <si>
    <t>Carbon Credit</t>
  </si>
  <si>
    <t xml:space="preserve">Carbide for sales </t>
  </si>
  <si>
    <t>CO2 per 1MT of waste</t>
  </si>
  <si>
    <t>CO2 / 1MT of waste</t>
  </si>
  <si>
    <t>Metals for sales</t>
  </si>
  <si>
    <t xml:space="preserve">Annual CO2 </t>
  </si>
  <si>
    <t>Plastic waste purchase/T</t>
  </si>
  <si>
    <t xml:space="preserve">Carbon Credit </t>
  </si>
  <si>
    <t>CO2 reduction</t>
  </si>
  <si>
    <t>Waste Processing Fee/T</t>
  </si>
  <si>
    <t>Waste Processing Fee</t>
  </si>
  <si>
    <t>One unit of 200T UR machine could prevent at least 76,230 MT of CO2 emission per year.</t>
  </si>
  <si>
    <t>Total</t>
  </si>
  <si>
    <t>pour innigham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</si>
</sst>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0_);_(* \(#,##0.00\);_(* &quot;-&quot;??_);_(@_)"/>
    <numFmt numFmtId="167" formatCode="&quot;$&quot;#,##0.00"/>
  </numFmts>
  <fonts count="5">
    <font>
      <sz val="11.0"/>
      <color rgb="FF000000"/>
      <name val="Arial"/>
      <scheme val="minor"/>
    </font>
    <font>
      <b/>
      <sz val="14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  <xf borderId="0" fillId="0" fontId="3" numFmtId="3" xfId="0" applyFont="1" applyNumberFormat="1"/>
    <xf borderId="1" fillId="0" fontId="3" numFmtId="0" xfId="0" applyBorder="1" applyFont="1"/>
    <xf borderId="1" fillId="0" fontId="2" numFmtId="3" xfId="0" applyBorder="1" applyFont="1" applyNumberFormat="1"/>
    <xf borderId="1" fillId="0" fontId="3" numFmtId="3" xfId="0" applyBorder="1" applyFont="1" applyNumberFormat="1"/>
    <xf borderId="1" fillId="0" fontId="2" numFmtId="0" xfId="0" applyBorder="1" applyFont="1"/>
    <xf borderId="1" fillId="2" fontId="2" numFmtId="3" xfId="0" applyBorder="1" applyFill="1" applyFont="1" applyNumberFormat="1"/>
    <xf borderId="1" fillId="0" fontId="2" numFmtId="164" xfId="0" applyBorder="1" applyFont="1" applyNumberFormat="1"/>
    <xf borderId="1" fillId="0" fontId="2" numFmtId="9" xfId="0" applyBorder="1" applyFont="1" applyNumberFormat="1"/>
    <xf borderId="1" fillId="0" fontId="2" numFmtId="9" xfId="0" applyAlignment="1" applyBorder="1" applyFont="1" applyNumberFormat="1">
      <alignment readingOrder="0"/>
    </xf>
    <xf borderId="1" fillId="0" fontId="3" numFmtId="164" xfId="0" applyBorder="1" applyFont="1" applyNumberFormat="1"/>
    <xf borderId="1" fillId="3" fontId="2" numFmtId="9" xfId="0" applyAlignment="1" applyBorder="1" applyFill="1" applyFont="1" applyNumberFormat="1">
      <alignment readingOrder="0"/>
    </xf>
    <xf borderId="1" fillId="0" fontId="3" numFmtId="10" xfId="0" applyBorder="1" applyFont="1" applyNumberFormat="1"/>
    <xf borderId="1" fillId="3" fontId="2" numFmtId="9" xfId="0" applyBorder="1" applyFont="1" applyNumberFormat="1"/>
    <xf borderId="1" fillId="0" fontId="2" numFmtId="165" xfId="0" applyBorder="1" applyFont="1" applyNumberFormat="1"/>
    <xf borderId="1" fillId="0" fontId="3" numFmtId="166" xfId="0" applyBorder="1" applyFont="1" applyNumberFormat="1"/>
    <xf borderId="1" fillId="0" fontId="2" numFmtId="4" xfId="0" applyBorder="1" applyFont="1" applyNumberFormat="1"/>
    <xf borderId="1" fillId="0" fontId="3" numFmtId="165" xfId="0" applyBorder="1" applyFont="1" applyNumberFormat="1"/>
    <xf borderId="0" fillId="0" fontId="2" numFmtId="165" xfId="0" applyFont="1" applyNumberFormat="1"/>
    <xf borderId="0" fillId="0" fontId="2" numFmtId="4" xfId="0" applyFont="1" applyNumberFormat="1"/>
    <xf borderId="1" fillId="0" fontId="2" numFmtId="167" xfId="0" applyAlignment="1" applyBorder="1" applyFont="1" applyNumberFormat="1">
      <alignment readingOrder="0"/>
    </xf>
    <xf borderId="1" fillId="0" fontId="2" numFmtId="167" xfId="0" applyBorder="1" applyFont="1" applyNumberFormat="1"/>
    <xf borderId="1" fillId="3" fontId="2" numFmtId="167" xfId="0" applyAlignment="1" applyBorder="1" applyFont="1" applyNumberFormat="1">
      <alignment readingOrder="0"/>
    </xf>
    <xf borderId="1" fillId="0" fontId="2" numFmtId="10" xfId="0" applyBorder="1" applyFont="1" applyNumberFormat="1"/>
    <xf borderId="1" fillId="3" fontId="2" numFmtId="167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2.75"/>
    <col customWidth="1" min="3" max="3" width="1.75"/>
    <col customWidth="1" min="4" max="4" width="22.75"/>
    <col customWidth="1" min="5" max="5" width="12.25"/>
    <col customWidth="1" min="6" max="6" width="11.75"/>
    <col customWidth="1" min="7" max="7" width="1.13"/>
    <col customWidth="1" min="8" max="8" width="19.13"/>
    <col customWidth="1" min="9" max="9" width="15.25"/>
    <col customWidth="1" min="10" max="10" width="14.13"/>
    <col customWidth="1" min="11" max="13" width="12.75"/>
    <col customWidth="1" min="14" max="26" width="14.38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4">
        <v>200.0</v>
      </c>
    </row>
    <row r="3" ht="14.25" customHeight="1">
      <c r="A3" s="5" t="s">
        <v>2</v>
      </c>
      <c r="B3" s="6"/>
      <c r="D3" s="5" t="s">
        <v>3</v>
      </c>
      <c r="E3" s="7" t="s">
        <v>4</v>
      </c>
      <c r="F3" s="3"/>
      <c r="H3" s="5" t="s">
        <v>5</v>
      </c>
      <c r="I3" s="5" t="s">
        <v>6</v>
      </c>
      <c r="J3" s="5" t="s">
        <v>7</v>
      </c>
    </row>
    <row r="4" ht="14.25" customHeight="1">
      <c r="A4" s="8" t="s">
        <v>8</v>
      </c>
      <c r="B4" s="6">
        <f>45000000*$B$2/200</f>
        <v>45000000</v>
      </c>
      <c r="D4" s="8" t="s">
        <v>9</v>
      </c>
      <c r="E4" s="9">
        <f>+$B$4</f>
        <v>45000000</v>
      </c>
      <c r="H4" s="8" t="s">
        <v>10</v>
      </c>
      <c r="I4" s="10">
        <f>+$E$28</f>
        <v>13371600</v>
      </c>
      <c r="J4" s="10">
        <f t="shared" ref="J4:J8" si="1">+I4/12</f>
        <v>1114300</v>
      </c>
    </row>
    <row r="5" ht="14.25" customHeight="1">
      <c r="A5" s="8" t="s">
        <v>11</v>
      </c>
      <c r="B5" s="11">
        <v>0.7</v>
      </c>
      <c r="D5" s="8" t="s">
        <v>12</v>
      </c>
      <c r="E5" s="6">
        <f>200000*$B$2/200</f>
        <v>200000</v>
      </c>
      <c r="H5" s="8" t="s">
        <v>13</v>
      </c>
      <c r="I5" s="10">
        <f>+$E$10/10</f>
        <v>5290000</v>
      </c>
      <c r="J5" s="10">
        <f t="shared" si="1"/>
        <v>440833.3333</v>
      </c>
    </row>
    <row r="6" ht="14.25" customHeight="1">
      <c r="A6" s="8" t="s">
        <v>14</v>
      </c>
      <c r="B6" s="9">
        <f>+$B$4*$B$5</f>
        <v>31500000</v>
      </c>
      <c r="D6" s="8" t="s">
        <v>15</v>
      </c>
      <c r="E6" s="6">
        <f>400000*$B$2/200</f>
        <v>400000</v>
      </c>
      <c r="H6" s="8" t="s">
        <v>16</v>
      </c>
      <c r="I6" s="10">
        <f>+$E$18</f>
        <v>4950400</v>
      </c>
      <c r="J6" s="10">
        <f t="shared" si="1"/>
        <v>412533.3333</v>
      </c>
    </row>
    <row r="7" ht="14.25" customHeight="1">
      <c r="A7" s="8" t="s">
        <v>17</v>
      </c>
      <c r="B7" s="12">
        <v>0.12</v>
      </c>
      <c r="D7" s="8" t="s">
        <v>18</v>
      </c>
      <c r="E7" s="6">
        <f>300000*$B$2/200</f>
        <v>300000</v>
      </c>
      <c r="H7" s="8" t="s">
        <v>19</v>
      </c>
      <c r="I7" s="10">
        <f>(+$B$6/120+$B$8)*12</f>
        <v>-2273201.85</v>
      </c>
      <c r="J7" s="10">
        <f t="shared" si="1"/>
        <v>-189433.4875</v>
      </c>
    </row>
    <row r="8" ht="14.25" customHeight="1">
      <c r="A8" s="8" t="s">
        <v>20</v>
      </c>
      <c r="B8" s="9">
        <f>PMT(+$B$7/12,120,+$B$6,0,0)</f>
        <v>-451933.4875</v>
      </c>
      <c r="D8" s="8" t="s">
        <v>21</v>
      </c>
      <c r="E8" s="6">
        <f>2000000*$B$2/200</f>
        <v>2000000</v>
      </c>
      <c r="H8" s="5" t="s">
        <v>22</v>
      </c>
      <c r="I8" s="13">
        <f>+I4-I5-I6+I7</f>
        <v>857998.1504</v>
      </c>
      <c r="J8" s="10">
        <f t="shared" si="1"/>
        <v>71499.84587</v>
      </c>
    </row>
    <row r="9" ht="14.25" customHeight="1">
      <c r="A9" s="8" t="s">
        <v>23</v>
      </c>
      <c r="B9" s="9">
        <f>+$B$4-$B$6</f>
        <v>13500000</v>
      </c>
      <c r="D9" s="8" t="s">
        <v>24</v>
      </c>
      <c r="E9" s="6">
        <v>5000000.0</v>
      </c>
    </row>
    <row r="10" ht="14.25" customHeight="1">
      <c r="B10" s="2"/>
      <c r="D10" s="5" t="s">
        <v>25</v>
      </c>
      <c r="E10" s="7">
        <f>SUM(E4:E9)</f>
        <v>52900000</v>
      </c>
    </row>
    <row r="11" ht="14.25" customHeight="1">
      <c r="A11" s="5" t="s">
        <v>26</v>
      </c>
      <c r="B11" s="6"/>
    </row>
    <row r="12" ht="14.25" customHeight="1">
      <c r="A12" s="8" t="s">
        <v>27</v>
      </c>
      <c r="B12" s="14">
        <v>1.0</v>
      </c>
      <c r="D12" s="5" t="s">
        <v>28</v>
      </c>
      <c r="E12" s="7" t="s">
        <v>4</v>
      </c>
      <c r="F12" s="5" t="s">
        <v>29</v>
      </c>
      <c r="H12" s="5" t="s">
        <v>30</v>
      </c>
      <c r="I12" s="15">
        <f>+$I$8/$B$9</f>
        <v>0.06355541855</v>
      </c>
    </row>
    <row r="13" ht="14.25" customHeight="1">
      <c r="A13" s="8" t="s">
        <v>31</v>
      </c>
      <c r="B13" s="16">
        <v>0.7</v>
      </c>
      <c r="D13" s="8" t="s">
        <v>32</v>
      </c>
      <c r="E13" s="9">
        <f>+$E$4*0.04</f>
        <v>1800000</v>
      </c>
      <c r="F13" s="17">
        <f t="shared" ref="F13:F18" si="2">+E13/12</f>
        <v>150000</v>
      </c>
      <c r="H13" s="5" t="s">
        <v>33</v>
      </c>
      <c r="I13" s="18">
        <f>+$B$9/$I$8</f>
        <v>15.73429965</v>
      </c>
    </row>
    <row r="14" ht="14.25" customHeight="1">
      <c r="A14" s="8" t="s">
        <v>34</v>
      </c>
      <c r="B14" s="16">
        <v>0.0</v>
      </c>
      <c r="D14" s="8" t="s">
        <v>35</v>
      </c>
      <c r="E14" s="6">
        <f>1200000*$B$2/200</f>
        <v>1200000</v>
      </c>
      <c r="F14" s="17">
        <f t="shared" si="2"/>
        <v>100000</v>
      </c>
    </row>
    <row r="15" ht="14.25" customHeight="1">
      <c r="A15" s="8" t="s">
        <v>36</v>
      </c>
      <c r="B15" s="11">
        <v>0.0</v>
      </c>
      <c r="D15" s="8" t="s">
        <v>37</v>
      </c>
      <c r="E15" s="6">
        <f>600*24*+$B$18*0.2*$B$2/200</f>
        <v>950400</v>
      </c>
      <c r="F15" s="17">
        <f t="shared" si="2"/>
        <v>79200</v>
      </c>
      <c r="H15" s="3" t="s">
        <v>38</v>
      </c>
      <c r="J15" s="3"/>
      <c r="K15" s="3"/>
      <c r="L15" s="3"/>
      <c r="M15" s="3"/>
    </row>
    <row r="16" ht="14.25" customHeight="1">
      <c r="A16" s="8" t="s">
        <v>39</v>
      </c>
      <c r="B16" s="19">
        <v>0.7</v>
      </c>
      <c r="D16" s="8" t="s">
        <v>40</v>
      </c>
      <c r="E16" s="6">
        <f>+$B$17*$B$18*$B$26</f>
        <v>0</v>
      </c>
      <c r="F16" s="17">
        <f t="shared" si="2"/>
        <v>0</v>
      </c>
      <c r="H16" s="8"/>
      <c r="I16" s="5" t="s">
        <v>41</v>
      </c>
      <c r="J16" s="5" t="s">
        <v>29</v>
      </c>
      <c r="K16" s="2"/>
    </row>
    <row r="17" ht="14.25" customHeight="1">
      <c r="A17" s="8" t="s">
        <v>42</v>
      </c>
      <c r="B17" s="9">
        <f>+$B$16*$B$2</f>
        <v>140</v>
      </c>
      <c r="D17" s="8" t="s">
        <v>43</v>
      </c>
      <c r="E17" s="6">
        <v>1000000.0</v>
      </c>
      <c r="F17" s="17">
        <f t="shared" si="2"/>
        <v>83333.33333</v>
      </c>
      <c r="H17" s="8" t="s">
        <v>44</v>
      </c>
      <c r="I17" s="10">
        <f>+$I$4</f>
        <v>13371600</v>
      </c>
      <c r="J17" s="10">
        <f t="shared" ref="J17:J20" si="3">+I17/12</f>
        <v>1114300</v>
      </c>
      <c r="K17" s="4"/>
      <c r="L17" s="3"/>
      <c r="M17" s="3"/>
    </row>
    <row r="18" ht="14.25" customHeight="1">
      <c r="A18" s="8" t="s">
        <v>45</v>
      </c>
      <c r="B18" s="6">
        <v>330.0</v>
      </c>
      <c r="D18" s="5" t="s">
        <v>25</v>
      </c>
      <c r="E18" s="7">
        <f>SUM(E13:E17)</f>
        <v>4950400</v>
      </c>
      <c r="F18" s="20">
        <f t="shared" si="2"/>
        <v>412533.3333</v>
      </c>
      <c r="H18" s="8" t="s">
        <v>16</v>
      </c>
      <c r="I18" s="10">
        <f>+$I$6</f>
        <v>4950400</v>
      </c>
      <c r="J18" s="10">
        <f t="shared" si="3"/>
        <v>412533.3333</v>
      </c>
      <c r="K18" s="21"/>
    </row>
    <row r="19" ht="14.25" customHeight="1">
      <c r="B19" s="2"/>
      <c r="D19" s="21"/>
      <c r="H19" s="8" t="s">
        <v>20</v>
      </c>
      <c r="I19" s="10">
        <f>+$B$8*12</f>
        <v>-5423201.85</v>
      </c>
      <c r="J19" s="10">
        <f t="shared" si="3"/>
        <v>-451933.4875</v>
      </c>
      <c r="K19" s="21"/>
    </row>
    <row r="20" ht="14.25" customHeight="1">
      <c r="A20" s="5" t="s">
        <v>46</v>
      </c>
      <c r="B20" s="8"/>
      <c r="D20" s="5" t="s">
        <v>47</v>
      </c>
      <c r="E20" s="7" t="s">
        <v>4</v>
      </c>
      <c r="F20" s="5" t="s">
        <v>29</v>
      </c>
      <c r="H20" s="5" t="s">
        <v>48</v>
      </c>
      <c r="I20" s="13">
        <f>+I17-I18+I19</f>
        <v>2997998.15</v>
      </c>
      <c r="J20" s="13">
        <f t="shared" si="3"/>
        <v>249833.1792</v>
      </c>
      <c r="K20" s="22"/>
    </row>
    <row r="21" ht="14.25" customHeight="1">
      <c r="A21" s="8" t="s">
        <v>49</v>
      </c>
      <c r="B21" s="23">
        <v>0.6</v>
      </c>
      <c r="D21" s="8" t="s">
        <v>50</v>
      </c>
      <c r="E21" s="17">
        <f>+$B$17*+$B$18*$B$12*0.85*1000*+$B$21*0.5</f>
        <v>11781000</v>
      </c>
      <c r="F21" s="17">
        <f t="shared" ref="F21:F27" si="4">+E21/12</f>
        <v>981750</v>
      </c>
      <c r="J21" s="3"/>
      <c r="K21" s="4"/>
      <c r="L21" s="3"/>
    </row>
    <row r="22" ht="14.25" customHeight="1">
      <c r="A22" s="8" t="s">
        <v>51</v>
      </c>
      <c r="B22" s="24">
        <v>100.0</v>
      </c>
      <c r="D22" s="8" t="s">
        <v>52</v>
      </c>
      <c r="E22" s="17">
        <f>10000*+$B$2/200*+$B$18*+$B$21</f>
        <v>1980000</v>
      </c>
      <c r="F22" s="17">
        <f t="shared" si="4"/>
        <v>165000</v>
      </c>
      <c r="K22" s="2"/>
    </row>
    <row r="23" ht="14.25" customHeight="1">
      <c r="A23" s="8" t="s">
        <v>53</v>
      </c>
      <c r="B23" s="24">
        <v>800.0</v>
      </c>
      <c r="D23" s="8" t="s">
        <v>54</v>
      </c>
      <c r="E23" s="17">
        <f>(+$E$21-$E$22)</f>
        <v>9801000</v>
      </c>
      <c r="F23" s="17">
        <f t="shared" si="4"/>
        <v>816750</v>
      </c>
      <c r="H23" s="8" t="s">
        <v>55</v>
      </c>
      <c r="I23" s="8" t="s">
        <v>56</v>
      </c>
      <c r="J23" s="8" t="s">
        <v>57</v>
      </c>
      <c r="K23" s="8" t="s">
        <v>58</v>
      </c>
      <c r="L23" s="8"/>
    </row>
    <row r="24" ht="14.25" customHeight="1">
      <c r="A24" s="8" t="s">
        <v>59</v>
      </c>
      <c r="B24" s="24">
        <v>50.0</v>
      </c>
      <c r="D24" s="8" t="s">
        <v>60</v>
      </c>
      <c r="E24" s="17">
        <f>+$B$17*$B$18*$B$13*0.25*$B$22</f>
        <v>808500</v>
      </c>
      <c r="F24" s="17">
        <f t="shared" si="4"/>
        <v>67375</v>
      </c>
      <c r="H24" s="8" t="s">
        <v>61</v>
      </c>
      <c r="I24" s="8">
        <v>1.8</v>
      </c>
      <c r="J24" s="8">
        <f>0.05*3</f>
        <v>0.15</v>
      </c>
      <c r="K24" s="8">
        <v>0.0</v>
      </c>
      <c r="L24" s="8"/>
    </row>
    <row r="25" ht="14.25" customHeight="1">
      <c r="A25" s="8" t="s">
        <v>62</v>
      </c>
      <c r="B25" s="8">
        <v>1.8</v>
      </c>
      <c r="D25" s="8" t="s">
        <v>63</v>
      </c>
      <c r="E25" s="17">
        <f>+$B$17*$B$18*$B$14*$B$23</f>
        <v>0</v>
      </c>
      <c r="F25" s="17">
        <f t="shared" si="4"/>
        <v>0</v>
      </c>
      <c r="H25" s="8" t="s">
        <v>64</v>
      </c>
      <c r="I25" s="17">
        <f>+$B$17*$B$18*$I$24</f>
        <v>83160</v>
      </c>
      <c r="J25" s="17">
        <f>+$B$17*$B$18*$J$24</f>
        <v>6930</v>
      </c>
      <c r="K25" s="17">
        <f>+$B$17*$B$18*K2</f>
        <v>0</v>
      </c>
      <c r="L25" s="8"/>
    </row>
    <row r="26" ht="14.25" customHeight="1">
      <c r="A26" s="8" t="s">
        <v>65</v>
      </c>
      <c r="B26" s="24">
        <v>0.0</v>
      </c>
      <c r="D26" s="8" t="s">
        <v>66</v>
      </c>
      <c r="E26" s="17">
        <f>(+$B$17-47*$B$2/200)*$B$18*+$B$25*$B$24</f>
        <v>2762100</v>
      </c>
      <c r="F26" s="17">
        <f t="shared" si="4"/>
        <v>230175</v>
      </c>
      <c r="H26" s="8" t="s">
        <v>67</v>
      </c>
      <c r="I26" s="8">
        <v>0.0</v>
      </c>
      <c r="J26" s="17">
        <f>+I25-J25</f>
        <v>76230</v>
      </c>
      <c r="K26" s="17">
        <f>+I25-K25</f>
        <v>83160</v>
      </c>
      <c r="L26" s="8"/>
    </row>
    <row r="27" ht="14.25" customHeight="1">
      <c r="A27" s="8" t="s">
        <v>68</v>
      </c>
      <c r="B27" s="25">
        <v>0.0</v>
      </c>
      <c r="C27" s="3"/>
      <c r="D27" s="8" t="s">
        <v>69</v>
      </c>
      <c r="E27" s="17">
        <f>+$B$17*$B$18*$B$27</f>
        <v>0</v>
      </c>
      <c r="F27" s="17">
        <f t="shared" si="4"/>
        <v>0</v>
      </c>
      <c r="G27" s="3"/>
      <c r="H27" s="5" t="s">
        <v>70</v>
      </c>
      <c r="I27" s="5"/>
      <c r="J27" s="5"/>
      <c r="K27" s="5"/>
      <c r="L27" s="5"/>
      <c r="M27" s="3"/>
    </row>
    <row r="28" ht="14.25" customHeight="1">
      <c r="A28" s="3"/>
      <c r="B28" s="3"/>
      <c r="D28" s="5" t="s">
        <v>71</v>
      </c>
      <c r="E28" s="20">
        <f t="shared" ref="E28:F28" si="5">SUM(E23:E27)</f>
        <v>13371600</v>
      </c>
      <c r="F28" s="20">
        <f t="shared" si="5"/>
        <v>1114300</v>
      </c>
    </row>
    <row r="29" ht="14.25" customHeight="1">
      <c r="A29" s="3"/>
      <c r="B29" s="2"/>
      <c r="H29" s="2"/>
    </row>
    <row r="30" ht="14.25" customHeight="1">
      <c r="A30" s="3"/>
      <c r="B30" s="4"/>
    </row>
    <row r="31" ht="14.25" customHeight="1">
      <c r="B31" s="2"/>
    </row>
    <row r="32" ht="14.25" customHeight="1">
      <c r="B32" s="2"/>
    </row>
    <row r="33" ht="14.25" customHeight="1">
      <c r="A33" s="3"/>
      <c r="B33" s="4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12.75"/>
    <col customWidth="1" min="3" max="3" width="1.75"/>
    <col customWidth="1" min="4" max="4" width="22.75"/>
    <col customWidth="1" min="5" max="5" width="12.25"/>
    <col customWidth="1" min="6" max="6" width="11.75"/>
    <col customWidth="1" min="7" max="7" width="1.13"/>
    <col customWidth="1" min="8" max="8" width="19.13"/>
    <col customWidth="1" min="9" max="9" width="15.25"/>
    <col customWidth="1" min="10" max="10" width="14.13"/>
    <col customWidth="1" min="11" max="13" width="12.75"/>
    <col customWidth="1" min="14" max="26" width="14.38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4">
        <v>200.0</v>
      </c>
    </row>
    <row r="3" ht="14.25" customHeight="1">
      <c r="A3" s="5" t="s">
        <v>2</v>
      </c>
      <c r="B3" s="6"/>
      <c r="D3" s="5" t="s">
        <v>3</v>
      </c>
      <c r="E3" s="7" t="s">
        <v>4</v>
      </c>
      <c r="F3" s="3"/>
      <c r="H3" s="5" t="s">
        <v>5</v>
      </c>
      <c r="I3" s="5" t="s">
        <v>6</v>
      </c>
      <c r="J3" s="5" t="s">
        <v>7</v>
      </c>
    </row>
    <row r="4" ht="14.25" customHeight="1">
      <c r="A4" s="8" t="s">
        <v>8</v>
      </c>
      <c r="B4" s="6">
        <f>60000000*$B$2/200</f>
        <v>60000000</v>
      </c>
      <c r="D4" s="8" t="s">
        <v>9</v>
      </c>
      <c r="E4" s="9">
        <f>+$B$4</f>
        <v>60000000</v>
      </c>
      <c r="H4" s="8" t="s">
        <v>10</v>
      </c>
      <c r="I4" s="10">
        <f>+$E$28</f>
        <v>28221600</v>
      </c>
      <c r="J4" s="10">
        <f t="shared" ref="J4:J8" si="1">+I4/12</f>
        <v>2351800</v>
      </c>
    </row>
    <row r="5" ht="14.25" customHeight="1">
      <c r="A5" s="8" t="s">
        <v>11</v>
      </c>
      <c r="B5" s="11">
        <v>0.7</v>
      </c>
      <c r="D5" s="8" t="s">
        <v>12</v>
      </c>
      <c r="E5" s="6">
        <f>200000*$B$2/200</f>
        <v>200000</v>
      </c>
      <c r="H5" s="8" t="s">
        <v>13</v>
      </c>
      <c r="I5" s="10">
        <f>+$E$10/10</f>
        <v>6790000</v>
      </c>
      <c r="J5" s="10">
        <f t="shared" si="1"/>
        <v>565833.3333</v>
      </c>
    </row>
    <row r="6" ht="14.25" customHeight="1">
      <c r="A6" s="8" t="s">
        <v>14</v>
      </c>
      <c r="B6" s="9">
        <f>+$B$4*$B$5</f>
        <v>42000000</v>
      </c>
      <c r="D6" s="8" t="s">
        <v>15</v>
      </c>
      <c r="E6" s="6">
        <f>400000*$B$2/200</f>
        <v>400000</v>
      </c>
      <c r="H6" s="8" t="s">
        <v>16</v>
      </c>
      <c r="I6" s="10">
        <f>+$E$18</f>
        <v>5550400</v>
      </c>
      <c r="J6" s="10">
        <f t="shared" si="1"/>
        <v>462533.3333</v>
      </c>
    </row>
    <row r="7" ht="14.25" customHeight="1">
      <c r="A7" s="8" t="s">
        <v>17</v>
      </c>
      <c r="B7" s="26">
        <v>0.005</v>
      </c>
      <c r="D7" s="8" t="s">
        <v>18</v>
      </c>
      <c r="E7" s="6">
        <f>300000*$B$2/200</f>
        <v>300000</v>
      </c>
      <c r="H7" s="8" t="s">
        <v>19</v>
      </c>
      <c r="I7" s="10">
        <f>(+$B$6/120+$B$8)*12</f>
        <v>-106749.7206</v>
      </c>
      <c r="J7" s="10">
        <f t="shared" si="1"/>
        <v>-8895.810048</v>
      </c>
    </row>
    <row r="8" ht="14.25" customHeight="1">
      <c r="A8" s="8" t="s">
        <v>20</v>
      </c>
      <c r="B8" s="9">
        <f>PMT(+$B$7/12,120,+$B$6,0,0)</f>
        <v>-358895.81</v>
      </c>
      <c r="D8" s="8" t="s">
        <v>21</v>
      </c>
      <c r="E8" s="6">
        <f>2000000*$B$2/200</f>
        <v>2000000</v>
      </c>
      <c r="H8" s="5" t="s">
        <v>22</v>
      </c>
      <c r="I8" s="13">
        <f>+I4-I5-I6+I7</f>
        <v>15774450.28</v>
      </c>
      <c r="J8" s="10">
        <f t="shared" si="1"/>
        <v>1314537.523</v>
      </c>
    </row>
    <row r="9" ht="14.25" customHeight="1">
      <c r="A9" s="8" t="s">
        <v>23</v>
      </c>
      <c r="B9" s="9">
        <f>+$B$4-$B$6</f>
        <v>18000000</v>
      </c>
      <c r="D9" s="8" t="s">
        <v>24</v>
      </c>
      <c r="E9" s="6">
        <v>5000000.0</v>
      </c>
    </row>
    <row r="10" ht="14.25" customHeight="1">
      <c r="B10" s="2"/>
      <c r="D10" s="5" t="s">
        <v>25</v>
      </c>
      <c r="E10" s="7">
        <f>SUM(E4:E9)</f>
        <v>67900000</v>
      </c>
    </row>
    <row r="11" ht="14.25" customHeight="1">
      <c r="A11" s="5" t="s">
        <v>26</v>
      </c>
      <c r="B11" s="6"/>
    </row>
    <row r="12" ht="14.25" customHeight="1">
      <c r="A12" s="8" t="s">
        <v>27</v>
      </c>
      <c r="B12" s="16">
        <v>0.3</v>
      </c>
      <c r="D12" s="5" t="s">
        <v>28</v>
      </c>
      <c r="E12" s="7" t="s">
        <v>4</v>
      </c>
      <c r="F12" s="5" t="s">
        <v>29</v>
      </c>
      <c r="H12" s="5" t="s">
        <v>30</v>
      </c>
      <c r="I12" s="15">
        <f>+$I$8/$B$9</f>
        <v>0.8763583489</v>
      </c>
    </row>
    <row r="13" ht="14.25" customHeight="1">
      <c r="A13" s="8" t="s">
        <v>31</v>
      </c>
      <c r="B13" s="16">
        <v>0.7</v>
      </c>
      <c r="D13" s="8" t="s">
        <v>32</v>
      </c>
      <c r="E13" s="9">
        <f>+$E$4*0.04</f>
        <v>2400000</v>
      </c>
      <c r="F13" s="17">
        <f t="shared" ref="F13:F18" si="2">+E13/12</f>
        <v>200000</v>
      </c>
      <c r="H13" s="5" t="s">
        <v>33</v>
      </c>
      <c r="I13" s="18">
        <f>+$B$9/$I$8</f>
        <v>1.141085723</v>
      </c>
    </row>
    <row r="14" ht="14.25" customHeight="1">
      <c r="A14" s="8" t="s">
        <v>34</v>
      </c>
      <c r="B14" s="16">
        <v>0.0</v>
      </c>
      <c r="D14" s="8" t="s">
        <v>35</v>
      </c>
      <c r="E14" s="6">
        <f>1200000*$B$2/200</f>
        <v>1200000</v>
      </c>
      <c r="F14" s="17">
        <f t="shared" si="2"/>
        <v>100000</v>
      </c>
    </row>
    <row r="15" ht="14.25" customHeight="1">
      <c r="A15" s="8" t="s">
        <v>36</v>
      </c>
      <c r="B15" s="11">
        <v>0.0</v>
      </c>
      <c r="D15" s="8" t="s">
        <v>37</v>
      </c>
      <c r="E15" s="6">
        <f>600*24*+$B$18*0.2*$B$2/200</f>
        <v>950400</v>
      </c>
      <c r="F15" s="17">
        <f t="shared" si="2"/>
        <v>79200</v>
      </c>
      <c r="H15" s="3" t="s">
        <v>38</v>
      </c>
      <c r="J15" s="3"/>
      <c r="K15" s="3"/>
      <c r="L15" s="3"/>
      <c r="M15" s="3"/>
    </row>
    <row r="16" ht="14.25" customHeight="1">
      <c r="A16" s="8" t="s">
        <v>39</v>
      </c>
      <c r="B16" s="19">
        <v>0.7</v>
      </c>
      <c r="D16" s="8" t="s">
        <v>40</v>
      </c>
      <c r="E16" s="6">
        <f>+$B$17*$B$18*$B$26</f>
        <v>0</v>
      </c>
      <c r="F16" s="17">
        <f t="shared" si="2"/>
        <v>0</v>
      </c>
      <c r="H16" s="8"/>
      <c r="I16" s="5" t="s">
        <v>41</v>
      </c>
      <c r="J16" s="5" t="s">
        <v>29</v>
      </c>
      <c r="K16" s="2"/>
    </row>
    <row r="17" ht="14.25" customHeight="1">
      <c r="A17" s="8" t="s">
        <v>42</v>
      </c>
      <c r="B17" s="9">
        <f>+$B$16*$B$2</f>
        <v>140</v>
      </c>
      <c r="D17" s="8" t="s">
        <v>43</v>
      </c>
      <c r="E17" s="6">
        <v>1000000.0</v>
      </c>
      <c r="F17" s="17">
        <f t="shared" si="2"/>
        <v>83333.33333</v>
      </c>
      <c r="H17" s="8" t="s">
        <v>44</v>
      </c>
      <c r="I17" s="10">
        <f>+$I$4</f>
        <v>28221600</v>
      </c>
      <c r="J17" s="10">
        <f t="shared" ref="J17:J20" si="3">+I17/12</f>
        <v>2351800</v>
      </c>
      <c r="K17" s="4"/>
      <c r="L17" s="3"/>
      <c r="M17" s="3"/>
    </row>
    <row r="18" ht="14.25" customHeight="1">
      <c r="A18" s="8" t="s">
        <v>45</v>
      </c>
      <c r="B18" s="6">
        <v>330.0</v>
      </c>
      <c r="D18" s="5" t="s">
        <v>25</v>
      </c>
      <c r="E18" s="7">
        <f>SUM(E13:E17)</f>
        <v>5550400</v>
      </c>
      <c r="F18" s="20">
        <f t="shared" si="2"/>
        <v>462533.3333</v>
      </c>
      <c r="H18" s="8" t="s">
        <v>16</v>
      </c>
      <c r="I18" s="10">
        <f>+$I$6</f>
        <v>5550400</v>
      </c>
      <c r="J18" s="10">
        <f t="shared" si="3"/>
        <v>462533.3333</v>
      </c>
      <c r="K18" s="21"/>
    </row>
    <row r="19" ht="14.25" customHeight="1">
      <c r="B19" s="2"/>
      <c r="D19" s="21"/>
      <c r="H19" s="8" t="s">
        <v>20</v>
      </c>
      <c r="I19" s="10">
        <f>+$B$8*12</f>
        <v>-4306749.721</v>
      </c>
      <c r="J19" s="10">
        <f t="shared" si="3"/>
        <v>-358895.81</v>
      </c>
      <c r="K19" s="21"/>
    </row>
    <row r="20" ht="14.25" customHeight="1">
      <c r="A20" s="5" t="s">
        <v>46</v>
      </c>
      <c r="B20" s="8"/>
      <c r="D20" s="5" t="s">
        <v>47</v>
      </c>
      <c r="E20" s="7" t="s">
        <v>4</v>
      </c>
      <c r="F20" s="5" t="s">
        <v>29</v>
      </c>
      <c r="H20" s="5" t="s">
        <v>48</v>
      </c>
      <c r="I20" s="13">
        <f>+I17-I18+I19</f>
        <v>18364450.28</v>
      </c>
      <c r="J20" s="13">
        <f t="shared" si="3"/>
        <v>1530370.857</v>
      </c>
      <c r="K20" s="22"/>
    </row>
    <row r="21" ht="14.25" customHeight="1">
      <c r="A21" s="8" t="s">
        <v>49</v>
      </c>
      <c r="B21" s="24">
        <v>0.41</v>
      </c>
      <c r="D21" s="8" t="s">
        <v>50</v>
      </c>
      <c r="E21" s="17">
        <f>+$B$17*+$B$18*$B$12*0.85*1000</f>
        <v>11781000</v>
      </c>
      <c r="F21" s="17">
        <f t="shared" ref="F21:F27" si="4">+E21/12</f>
        <v>981750</v>
      </c>
      <c r="J21" s="3"/>
      <c r="K21" s="4"/>
      <c r="L21" s="3"/>
    </row>
    <row r="22" ht="14.25" customHeight="1">
      <c r="A22" s="8" t="s">
        <v>51</v>
      </c>
      <c r="B22" s="24">
        <v>100.0</v>
      </c>
      <c r="D22" s="8" t="s">
        <v>52</v>
      </c>
      <c r="E22" s="17">
        <f>10000*+$B$2/200*+$B$18</f>
        <v>3300000</v>
      </c>
      <c r="F22" s="17">
        <f t="shared" si="4"/>
        <v>275000</v>
      </c>
      <c r="K22" s="2"/>
    </row>
    <row r="23" ht="14.25" customHeight="1">
      <c r="A23" s="8" t="s">
        <v>53</v>
      </c>
      <c r="B23" s="24">
        <v>800.0</v>
      </c>
      <c r="D23" s="8" t="s">
        <v>54</v>
      </c>
      <c r="E23" s="17">
        <f>(+$E$21-$E$22)</f>
        <v>8481000</v>
      </c>
      <c r="F23" s="17">
        <f t="shared" si="4"/>
        <v>706750</v>
      </c>
      <c r="H23" s="8" t="s">
        <v>55</v>
      </c>
      <c r="I23" s="8" t="s">
        <v>56</v>
      </c>
      <c r="J23" s="8" t="s">
        <v>57</v>
      </c>
      <c r="K23" s="8" t="s">
        <v>58</v>
      </c>
      <c r="L23" s="8"/>
    </row>
    <row r="24" ht="14.25" customHeight="1">
      <c r="A24" s="8" t="s">
        <v>59</v>
      </c>
      <c r="B24" s="24">
        <v>50.0</v>
      </c>
      <c r="D24" s="8" t="s">
        <v>60</v>
      </c>
      <c r="E24" s="17">
        <f>+$B$17*$B$18*$B$13*0.25*$B$22</f>
        <v>808500</v>
      </c>
      <c r="F24" s="17">
        <f t="shared" si="4"/>
        <v>67375</v>
      </c>
      <c r="H24" s="8" t="s">
        <v>61</v>
      </c>
      <c r="I24" s="8">
        <v>1.8</v>
      </c>
      <c r="J24" s="8">
        <f>0.05*3</f>
        <v>0.15</v>
      </c>
      <c r="K24" s="8">
        <v>0.0</v>
      </c>
      <c r="L24" s="8"/>
    </row>
    <row r="25" ht="14.25" customHeight="1">
      <c r="A25" s="8" t="s">
        <v>62</v>
      </c>
      <c r="B25" s="8">
        <v>1.8</v>
      </c>
      <c r="D25" s="8" t="s">
        <v>63</v>
      </c>
      <c r="E25" s="17">
        <f>+$B$17*$B$18*$B$14*$B$23</f>
        <v>0</v>
      </c>
      <c r="F25" s="17">
        <f t="shared" si="4"/>
        <v>0</v>
      </c>
      <c r="H25" s="8" t="s">
        <v>64</v>
      </c>
      <c r="I25" s="17">
        <f>+$B$17*$B$18*$I$24</f>
        <v>83160</v>
      </c>
      <c r="J25" s="17">
        <f>+$B$17*$B$18*$J$24</f>
        <v>6930</v>
      </c>
      <c r="K25" s="17">
        <f>+$B$17*$B$18*K2</f>
        <v>0</v>
      </c>
      <c r="L25" s="8"/>
    </row>
    <row r="26" ht="14.25" customHeight="1">
      <c r="A26" s="8" t="s">
        <v>65</v>
      </c>
      <c r="B26" s="24">
        <v>0.0</v>
      </c>
      <c r="D26" s="8" t="s">
        <v>66</v>
      </c>
      <c r="E26" s="17">
        <f>(+$B$17-47*$B$2/200)*$B$18*+$B$25*$B$24</f>
        <v>2762100</v>
      </c>
      <c r="F26" s="17">
        <f t="shared" si="4"/>
        <v>230175</v>
      </c>
      <c r="H26" s="8" t="s">
        <v>67</v>
      </c>
      <c r="I26" s="8">
        <v>0.0</v>
      </c>
      <c r="J26" s="17">
        <f>+I25-J25</f>
        <v>76230</v>
      </c>
      <c r="K26" s="17">
        <f>+I25-K25</f>
        <v>83160</v>
      </c>
      <c r="L26" s="8"/>
    </row>
    <row r="27" ht="14.25" customHeight="1">
      <c r="A27" s="8" t="s">
        <v>68</v>
      </c>
      <c r="B27" s="27">
        <v>350.0</v>
      </c>
      <c r="C27" s="3"/>
      <c r="D27" s="8" t="s">
        <v>69</v>
      </c>
      <c r="E27" s="17">
        <f>+$B$17*$B$18*$B$27</f>
        <v>16170000</v>
      </c>
      <c r="F27" s="17">
        <f t="shared" si="4"/>
        <v>1347500</v>
      </c>
      <c r="G27" s="3"/>
      <c r="H27" s="5" t="s">
        <v>70</v>
      </c>
      <c r="I27" s="5"/>
      <c r="J27" s="5"/>
      <c r="K27" s="5"/>
      <c r="L27" s="5"/>
      <c r="M27" s="3"/>
    </row>
    <row r="28" ht="14.25" customHeight="1">
      <c r="A28" s="3"/>
      <c r="B28" s="3"/>
      <c r="D28" s="5" t="s">
        <v>71</v>
      </c>
      <c r="E28" s="20">
        <f t="shared" ref="E28:F28" si="5">SUM(E23:E27)</f>
        <v>28221600</v>
      </c>
      <c r="F28" s="20">
        <f t="shared" si="5"/>
        <v>2351800</v>
      </c>
    </row>
    <row r="29" ht="14.25" customHeight="1">
      <c r="A29" s="3"/>
      <c r="B29" s="2"/>
      <c r="H29" s="2"/>
    </row>
    <row r="30" ht="14.25" customHeight="1">
      <c r="A30" s="3"/>
      <c r="B30" s="4"/>
    </row>
    <row r="31" ht="14.25" customHeight="1">
      <c r="B31" s="2"/>
      <c r="D31" s="28" t="s">
        <v>72</v>
      </c>
      <c r="E31" s="28">
        <f>E23*10</f>
        <v>84810000</v>
      </c>
    </row>
    <row r="32" ht="14.25" customHeight="1">
      <c r="B32" s="2"/>
    </row>
    <row r="33" ht="14.25" customHeight="1">
      <c r="A33" s="3"/>
      <c r="B33" s="4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2024-01-25T06:51:08Z</dcterms:created>
  <dc:creator>Peter</dc:creator>
</cp:coreProperties>
</file>