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Revisions" sheetId="1" state="visible" r:id="rId3"/>
    <sheet name="1-Inputs" sheetId="2" state="visible" r:id="rId4"/>
    <sheet name="2-Production" sheetId="3" state="visible" r:id="rId5"/>
    <sheet name="3-CAPEX" sheetId="4" state="visible" r:id="rId6"/>
    <sheet name="4-PL" sheetId="5" state="visible" r:id="rId7"/>
    <sheet name="5-Segment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<sst xmlns="http://schemas.openxmlformats.org/spreadsheetml/2006/main" count="1471" uniqueCount="1117">
  <si>
    <t xml:space="preserve">URBAN RIG — MODELE FINANCIER V7</t>
  </si>
  <si>
    <t xml:space="preserve">Revision du V6. Etablie le 21 septembre 2026. Char en deux hypotheses, PCI du char, modele de cadence.</t>
  </si>
  <si>
    <t xml:space="preserve">#</t>
  </si>
  <si>
    <t xml:space="preserve">Poste</t>
  </si>
  <si>
    <t xml:space="preserve">V3</t>
  </si>
  <si>
    <t xml:space="preserve">V4</t>
  </si>
  <si>
    <t xml:space="preserve">Statut</t>
  </si>
  <si>
    <t xml:space="preserve">Justification</t>
  </si>
  <si>
    <t xml:space="preserve">BLOC V5 — CORRECTIONS DU 19/09/2026</t>
  </si>
  <si>
    <t xml:space="preserve">Flux de tresorerie</t>
  </si>
  <si>
    <t xml:space="preserve">EBITDA - impot, sans les interets</t>
  </si>
  <si>
    <t xml:space="preserve">EBITDA + impot + interets</t>
  </si>
  <si>
    <t xml:space="preserve">CORRIGE</t>
  </si>
  <si>
    <t xml:space="preserve">DEUX ERREURS DU V4. Un : la ligne d'impot est negative et etait soustraite, donc l'impot s'AJOUTAIT a la tresorerie. Deux : les interets payes a la banque n'etaient pas deduits du flux libre. Le moteur Python avait la seconde erreur. Effet : flux libre et TRI des fonds propres fortement surestimes dans le V4.</t>
  </si>
  <si>
    <t xml:space="preserve">Bilan matiere</t>
  </si>
  <si>
    <t xml:space="preserve">1 565 T/an non comptees</t>
  </si>
  <si>
    <t xml:space="preserve">Ecart nul, controle ajoute</t>
  </si>
  <si>
    <t xml:space="preserve">Trois fuites du V4 : fraction non classee de 2,5% (1 132 T/an), fer et aluminium ayant echappe au pre-tri (289 T/an), chlore du PVC (144 T/an). Les deux premieres vont en elimination, le chlore dans le concentrat. Lignes de controle K1 a K4 ajoutees a l'onglet 2-Production.</t>
  </si>
  <si>
    <t xml:space="preserve">Recuperation des metaux dans le char</t>
  </si>
  <si>
    <t xml:space="preserve">Autres metaux seulement</t>
  </si>
  <si>
    <t xml:space="preserve">Fer, aluminium et autres</t>
  </si>
  <si>
    <t xml:space="preserve">REINTRODUIT</t>
  </si>
  <si>
    <t xml:space="preserve">Le V3 recuperait dans le char 80% du fer et de l'aluminium ayant echappe au pre-tri. Le V4 l'avait perdu.</t>
  </si>
  <si>
    <t xml:space="preserve">Besoin en fonds de roulement</t>
  </si>
  <si>
    <t xml:space="preserve">Absent</t>
  </si>
  <si>
    <t xml:space="preserve">5% du chiffre d'affaires</t>
  </si>
  <si>
    <t xml:space="preserve">Reprise du V3 F8. Variation annuelle en tresorerie, recuperation en annee 15.</t>
  </si>
  <si>
    <t xml:space="preserve">VAN et TRI</t>
  </si>
  <si>
    <t xml:space="preserve">Absents</t>
  </si>
  <si>
    <t xml:space="preserve">VAN au CMPC de 10%, TRI projet, TRI fonds propres</t>
  </si>
  <si>
    <t xml:space="preserve">Reprise du V3 F7.</t>
  </si>
  <si>
    <t xml:space="preserve">Prix de l'huile</t>
  </si>
  <si>
    <t xml:space="preserve">Craqueur 641 ou combustible 350</t>
  </si>
  <si>
    <t xml:space="preserve">Trois fractions, trois scenarios : 480 / 641 / 895</t>
  </si>
  <si>
    <t xml:space="preserve">Reprise du V3 section H. Le 350 EUR/T du V4 n'avait pas de source ; le scenario bas documente est a 480.</t>
  </si>
  <si>
    <t xml:space="preserve">Emprunt</t>
  </si>
  <si>
    <t xml:space="preserve">Amortissement lineaire du capital</t>
  </si>
  <si>
    <t xml:space="preserve">Annuites constantes, mensualites</t>
  </si>
  <si>
    <t xml:space="preserve">Reprise du V3 : 120 mensualites, pratique bancaire francaise.</t>
  </si>
  <si>
    <t xml:space="preserve">Humidite</t>
  </si>
  <si>
    <t xml:space="preserve">8%, sans reserve</t>
  </si>
  <si>
    <t xml:space="preserve">8%, avec avertissement</t>
  </si>
  <si>
    <t xml:space="preserve">PRECISE</t>
  </si>
  <si>
    <t xml:space="preserve">Le V3 precisait que les OMR sont a 25-35% et que 8% suppose une charge presechee. Avertissement retabli.</t>
  </si>
  <si>
    <t xml:space="preserve">Gate fees par type de dechet</t>
  </si>
  <si>
    <t xml:space="preserve">Moyenne unique a 110</t>
  </si>
  <si>
    <t xml:space="preserve">Six categories + mode de calcul</t>
  </si>
  <si>
    <t xml:space="preserve">Reprise du V3 section G. Mode 1 : moyenne saisie (110, valeur par defaut). Mode 2 : melange par type (melange CDG : 119 EUR/T).</t>
  </si>
  <si>
    <t xml:space="preserve">BLOC A — ERREURS DE STRUCTURE</t>
  </si>
  <si>
    <t xml:space="preserve">Multiplicateur d'unites</t>
  </si>
  <si>
    <t xml:space="preserve">N'agit que sur les gate fees</t>
  </si>
  <si>
    <t xml:space="preserve">Agit sur tout le modele</t>
  </si>
  <si>
    <t xml:space="preserve">Dans le V3, la cellule A4 de 1-Waste Input multiplie le tonnage utilise pour les gate fees, mais l'huile, le char, les metaux, le verre, les credits carbone et la quasi-totalite de l'OPEX sont calcules a partir de la production journaliere d'UNE unite. Mettre 2 donnait un resultat faux.</t>
  </si>
  <si>
    <t xml:space="preserve">Recettes huile, char, metaux, verre</t>
  </si>
  <si>
    <t xml:space="preserve">Non multipliees par N</t>
  </si>
  <si>
    <t xml:space="preserve">Multipliees par N</t>
  </si>
  <si>
    <t xml:space="preserve">Consequence directe du point precedent.</t>
  </si>
  <si>
    <t xml:space="preserve">OPEX electricite, fioul, residus</t>
  </si>
  <si>
    <t xml:space="preserve">Non multiplies par N</t>
  </si>
  <si>
    <t xml:space="preserve">Multiplies par N</t>
  </si>
  <si>
    <t xml:space="preserve">Personnel de tri</t>
  </si>
  <si>
    <t xml:space="preserve">4 + 3 ETP fixes</t>
  </si>
  <si>
    <t xml:space="preserve">7 ETP par unite</t>
  </si>
  <si>
    <t xml:space="preserve">Le trommel du V3 est dimensionne a 6 T/h, soit 144 T/jour, c'est-a-dire le debit d'une seule machine. Deux machines exigent deux lignes de tri.</t>
  </si>
  <si>
    <t xml:space="preserve">Lignes de pre-tri et post-tri (CAPEX)</t>
  </si>
  <si>
    <t xml:space="preserve">Montant fixe</t>
  </si>
  <si>
    <t xml:space="preserve">x N</t>
  </si>
  <si>
    <t xml:space="preserve">Meme raison.</t>
  </si>
  <si>
    <t xml:space="preserve">BLOC B — ENERGIE</t>
  </si>
  <si>
    <t xml:space="preserve">PCI du gaz de procede — plastique</t>
  </si>
  <si>
    <t xml:space="preserve">5,54 MJ/kg</t>
  </si>
  <si>
    <t xml:space="preserve">37,3 MJ/kg</t>
  </si>
  <si>
    <t xml:space="preserve">Calcule a partir du rapport de chromatographie B2002600 du 05/12/2020. L'echantillon contient 65,8% de N2 et 12,3% de O2, soit 78,1% de diluant. Sur les 19,7% de gaz reel (H2 12,7%, CH4 3,2%, C2-C3 1,5%, CO 0,6%, CO2 1,7%), le PCI ressort a 37,3 MJ/kg, soit 18,8 MJ/Nm3. Le 5,54 MJ/kg du rapport d'essai est le PCI de l'echantillon DILUE, applique par erreur a la masse de gaz non dilue du bilan matiere.</t>
  </si>
  <si>
    <t xml:space="preserve">PCI du gaz de procede — organique</t>
  </si>
  <si>
    <t xml:space="preserve">0,5 MJ/kg</t>
  </si>
  <si>
    <t xml:space="preserve">11,0 MJ/kg</t>
  </si>
  <si>
    <t xml:space="preserve">Neves et al., Chalmers : PCI du gaz de pyrolyse de biomasse d'environ 11 MJ/kg a 600 degres C. Le 0,5 MJ/kg du V3 n'a aucune source. Valeur hors depot, a confirmer par un essai sur charge organique.</t>
  </si>
  <si>
    <t xml:space="preserve">Fioul de chauffe</t>
  </si>
  <si>
    <t xml:space="preserve">7 494 L/jour, 989 297 EUR/an</t>
  </si>
  <si>
    <t xml:space="preserve">0 L/jour en regime normal</t>
  </si>
  <si>
    <t xml:space="preserve">Avec les PCI corriges, le gaz de procede couvre 130% du besoin thermique a 30% de plastique. La separation etagee (150 / 300 / 450 degres C) permet d'ajuster la coupure C5 et donc l'arbitrage huile contre gaz. Le bruleur, le separateur et la filtration sont deja installes.</t>
  </si>
  <si>
    <t xml:space="preserve">Provision de fioul de secours</t>
  </si>
  <si>
    <t xml:space="preserve">Absente</t>
  </si>
  <si>
    <t xml:space="preserve">5% du besoin theorique</t>
  </si>
  <si>
    <t xml:space="preserve">AJOUTE</t>
  </si>
  <si>
    <t xml:space="preserve">Demarrages, arrets, variations de charge, flamme pilote. Cellule modifiable.</t>
  </si>
  <si>
    <t xml:space="preserve">Besoin thermique</t>
  </si>
  <si>
    <t xml:space="preserve">2 714 MJ/T</t>
  </si>
  <si>
    <t xml:space="preserve">INCHANGE</t>
  </si>
  <si>
    <t xml:space="preserve">Recoupement independant : le bruleur est donne a 833 kcal/s dans UR2000-JP, soit 3,49 MW et 301 190 MJ/jour, a comparer aux 338 802 MJ/jour du modele. Coherent a 11% pres.</t>
  </si>
  <si>
    <t xml:space="preserve">Rendement du bruleur</t>
  </si>
  <si>
    <t xml:space="preserve">Implicite 100%</t>
  </si>
  <si>
    <t xml:space="preserve">85%</t>
  </si>
  <si>
    <t xml:space="preserve">Aucun bruleur ne transfere 100% de l'energie du combustible au procede.</t>
  </si>
  <si>
    <t xml:space="preserve">BLOC C — CAPEX</t>
  </si>
  <si>
    <t xml:space="preserve">Batiment</t>
  </si>
  <si>
    <t xml:space="preserve">5,0 MEUR fixe</t>
  </si>
  <si>
    <t xml:space="preserve">Surface x 1 075 EUR/m2</t>
  </si>
  <si>
    <t xml:space="preserve">Plans d'implantation UR2000-JP. Une machine : 4 650 m2 batis (usine 3 000, dechets 640, produits 810, bureaux 200). Cinq machines : 21 770 m2 (usine S 14 230, dechets RC 3 450, CSR RC 3 450, bureaux RC 640). La surface par machine ne baisse que de 6%.</t>
  </si>
  <si>
    <t xml:space="preserve">Emprise fonciere</t>
  </si>
  <si>
    <t xml:space="preserve">Ligne indicative</t>
  </si>
  <si>
    <t xml:space="preserve">UR2000-JP : 5 265 m2 pour une machine, 28 900 m2 (170 x 170 m) pour cinq. A ne pas confondre avec la surface batie.</t>
  </si>
  <si>
    <t xml:space="preserve">Ingenierie, ICPE, MOE</t>
  </si>
  <si>
    <t xml:space="preserve">Fixe</t>
  </si>
  <si>
    <t xml:space="preserve">+20% par machine ajoutee</t>
  </si>
  <si>
    <t xml:space="preserve">Dossier ICPE et etude d'impact plus lourds.</t>
  </si>
  <si>
    <t xml:space="preserve">BLOC D — EXPLOITATION</t>
  </si>
  <si>
    <t xml:space="preserve">Electricite</t>
  </si>
  <si>
    <t xml:space="preserve">4 800 kWh/jour</t>
  </si>
  <si>
    <t xml:space="preserve">3 000 kWh/jour</t>
  </si>
  <si>
    <t xml:space="preserve">Quatre valeurs existent dans le depot : 20 kW en continu (fiche UR2000-JP), 600 kW (annexe 9), 4 800 kWh/jour soit 200 kW (V3), et 15 a 20 kWh/T mesures sur site (donnees Ichimura). 3 000 kWh/jour, soit 21,4 kWh/T, se cale sur la seule valeur mesuree. A trancher par un releve d'un mois.</t>
  </si>
  <si>
    <t xml:space="preserve">Prix de l'electricite</t>
  </si>
  <si>
    <t xml:space="preserve">0,15 EUR/kWh</t>
  </si>
  <si>
    <t xml:space="preserve">Prix du fioul</t>
  </si>
  <si>
    <t xml:space="preserve">0,40 EUR/L</t>
  </si>
  <si>
    <t xml:space="preserve">0,95 EUR/L</t>
  </si>
  <si>
    <t xml:space="preserve">Prix GNR livre en France 2026 : 0,90 a 1,10 EUR/L HT. Sans effet materiel puisque la consommation tombe a la provision de secours.</t>
  </si>
  <si>
    <t xml:space="preserve">Assurance</t>
  </si>
  <si>
    <t xml:space="preserve">0,5% du CAPEX</t>
  </si>
  <si>
    <t xml:space="preserve">Provision et divers</t>
  </si>
  <si>
    <t xml:space="preserve">2% du CAPEX</t>
  </si>
  <si>
    <t xml:space="preserve">Maintenance</t>
  </si>
  <si>
    <t xml:space="preserve">4% de l'equipement</t>
  </si>
  <si>
    <t xml:space="preserve">Reserve : 5 a 8% est plus courant sur un procede haute temperature en atmosphere chloree. Cellule modifiable.</t>
  </si>
  <si>
    <t xml:space="preserve">5,0 MEUR forfaitaires</t>
  </si>
  <si>
    <t xml:space="preserve">Surfaces x prix de marche par type</t>
  </si>
  <si>
    <t xml:space="preserve">Le 1 075 EUR/m2 de la premiere version du V4 etait un calcul inverse : 5 000 000 EUR du V3 divises par 4 650 m2 de plan. Ce n'etait pas une reference de marche. Remplace par quatre lignes aux prix du marche francais 2026 : usine de traitement 900 EUR/m2 (atelier de production, fourchette 500 a 1 000), stockage 500 EUR/m2 (hangar, fourchette 350 a 450 en charpente metallique), bureaux 1 300 EUR/m2. Le VRD, les fondations renforcees et les raccordements sortent en ligne distincte.</t>
  </si>
  <si>
    <t xml:space="preserve">VRD, fondations, raccordements</t>
  </si>
  <si>
    <t xml:space="preserve">Inclus dans le forfait</t>
  </si>
  <si>
    <t xml:space="preserve">1,30 MEUR + 0,40 MEUR par unite</t>
  </si>
  <si>
    <t xml:space="preserve">UR2000-JP impose une dalle supportant 5 tonnes au m2. Poste distinct du batiment.</t>
  </si>
  <si>
    <t xml:space="preserve">4% de l'equipement des l'annee 1</t>
  </si>
  <si>
    <t xml:space="preserve">1% jusqu'en annee 4, montee lineaire a 4% en annee 10, puis 4%</t>
  </si>
  <si>
    <t xml:space="preserve">Equipement neuf sous garantie constructeur les premieres annees. Sur quinze ans le cumul passe de 60% a 40,5% du prix de l'equipement. Reserve a garder en tete : une revision majeure de refractaire tombe generalement entre l'annee 5 et l'annee 7 et n'est pas capturee par un pourcentage lisse.</t>
  </si>
  <si>
    <t xml:space="preserve">Couche catalytique d'adsorption des halogenes</t>
  </si>
  <si>
    <t xml:space="preserve">150 000 EUR/an/unite (valeur d'attente)</t>
  </si>
  <si>
    <r>
      <rPr>
        <i val="true"/>
        <sz val="9"/>
        <color rgb="FF595959"/>
        <rFont val="Arial"/>
        <family val="0"/>
        <charset val="1"/>
      </rPr>
      <t xml:space="preserve">Le document UR2000-JP decrit une couche catalytique placee AVANT le condenseur, qui capte le chlore en phase gazeuse (</t>
    </r>
    <r>
      <rPr>
        <i val="true"/>
        <sz val="9"/>
        <color rgb="FF595959"/>
        <rFont val="Noto Sans CJK SC"/>
        <family val="2"/>
      </rPr>
      <t xml:space="preserve">触媒槽・塩素除去</t>
    </r>
    <r>
      <rPr>
        <i val="true"/>
        <sz val="9"/>
        <color rgb="FF595959"/>
        <rFont val="Arial"/>
        <family val="0"/>
        <charset val="1"/>
      </rPr>
      <t xml:space="preserve">). C'est le mecanisme qui explique le 1 ppm de chlore du certificat NKKK. Mais un adsorbant se sature : ni capacite, ni duree de vie, ni prix ne figurent au dossier. Le constructeur indique par ailleurs que les essais brome et fluor ont ete faits sur materiaux aeronautiques avec une efficacite comparable ; le rapport n'a pas ete produit.</t>
    </r>
  </si>
  <si>
    <t xml:space="preserve">Traitement de l'eau de procede</t>
  </si>
  <si>
    <t xml:space="preserve">Neutralisation + ceramique + charbon actif + concentrat</t>
  </si>
  <si>
    <t xml:space="preserve">Le chlore du PVC est transforme par la vapeur en acide chlorhydrique dilue, qui part dans l'eau (mecanisme decrit page 3 du document UR2000-JP). Chaine retenue : lit de carbonate de calcium en amont, puis SEA CORAL, puis charbon actif d'affinage. Essai constructeur du SEA CORAL sur eau de mer : chlorures de 31 000 a 31 mg/L, soit 99,9% d'abattement, rendement en eau 78%. L'electricite n'est PAS ajoutee, elle est deja dans la ligne H7 (environ 22 modules a 250 W, soit 132 kWh/jour, contre 3 000 kWh/jour pour la machine).</t>
  </si>
  <si>
    <t xml:space="preserve">Neutralisation au carbonate de calcium</t>
  </si>
  <si>
    <t xml:space="preserve">2,5 kg/T traitee</t>
  </si>
  <si>
    <t xml:space="preserve">Correction d'une reserve que j'avais formulee a tort. J'avais ecrit que le HCl, etant volatil, suivrait l'eau a travers le SEA CORAL. C'est exact en l'absence de traitement, mais la parade est elementaire et connue de longue date : un lit de calcaire en amont. CaCO3 + 2 HCl donne CaCl2 + H2O + CO2. Le chlorure de calcium est un sel non volatil, il reste dans le concentrat. Il ne subsiste que du CO2 dissous, d'ou un pH de 5 a 6, sans consequence. Le fluorure de calcium est en outre tres peu soluble et precipite. La reserve ne porte donc plus que sur les composes organiques volatils, traites par charbon actif.</t>
  </si>
  <si>
    <t xml:space="preserve">Energie d'evaporation de l'eau</t>
  </si>
  <si>
    <t xml:space="preserve">Sans objet</t>
  </si>
  <si>
    <t xml:space="preserve">Non comptee</t>
  </si>
  <si>
    <t xml:space="preserve">VERIFIE</t>
  </si>
  <si>
    <r>
      <rPr>
        <i val="true"/>
        <sz val="9"/>
        <color rgb="FF595959"/>
        <rFont val="Arial"/>
        <family val="0"/>
        <charset val="1"/>
      </rPr>
      <t xml:space="preserve">Le SEA CORAL n'est pas un procede thermique. Le document indique que la seule energie consommee est celle du ventilateur (</t>
    </r>
    <r>
      <rPr>
        <i val="true"/>
        <sz val="9"/>
        <color rgb="FF595959"/>
        <rFont val="Noto Sans CJK SC"/>
        <family val="2"/>
      </rPr>
      <t xml:space="preserve">動力はファンの駆動電力のみ</t>
    </r>
    <r>
      <rPr>
        <i val="true"/>
        <sz val="9"/>
        <color rgb="FF595959"/>
        <rFont val="Arial"/>
        <family val="0"/>
        <charset val="1"/>
      </rPr>
      <t xml:space="preserve">). La chaleur latente est prise a l'air ambiant. Environ 250 W par module de 500 L/jour, soit 22 modules et 132 kWh/jour par machine, compris dans les 3 000 kWh/jour de la ligne H7.</t>
    </r>
  </si>
  <si>
    <t xml:space="preserve">Chlore dans l'huile</t>
  </si>
  <si>
    <t xml:space="preserve">Non traite</t>
  </si>
  <si>
    <t xml:space="preserve">1 ppm (certificat NKKK)</t>
  </si>
  <si>
    <t xml:space="preserve">Le fichier TECHNICAL-REFERENCE-VALIDATED-DATA.md du depot indique 'Chlorine Content &lt; 100 ppm'. C'est une ERREUR DE RECOPIE : le 100 ppm est un SEUIL de reference cite dans le commentaire de l'annexe technique, section 2.2, pas une mesure. La valeur mesuree par NKKK est 0,0001%, soit 1 ppm. La specification vapocraqueur est de 3 ppm : l'huile passe. RESERVE posee par l'annexe elle-meme : l'echantillon est peut-etre une fraction legere uniquement (point eclair &lt;= 40 degres C, viscosite 1,11 mm2/s), et la charge d'origine n'est pas documentee. A verifier fraction par fraction sur dechet reel.</t>
  </si>
  <si>
    <t xml:space="preserve">Decantation de l'eau de procede</t>
  </si>
  <si>
    <t xml:space="preserve">Cuve de neutralisation et decantation</t>
  </si>
  <si>
    <t xml:space="preserve">Chaine retenue : eau de procede chargee en chlore et en organiques, puis bain de pellets de calcaire, puis decantation, puis separation des phases. La phase organique surnageante est reintroduite en benne avec la charge ; seule la phase aqueuse va au SEA CORAL. L'ordre compte : neutraliser avant de decanter augmente la force ionique de l'eau, donc accentue le relargage salin et ameliore la separation. Trois parametres nouveaux, tous a zero ou inconnus par defaut, lignes H14 a H16.</t>
  </si>
  <si>
    <t xml:space="preserve">Recyclage des organiques</t>
  </si>
  <si>
    <t xml:space="preserve">Parametre a zero par defaut</t>
  </si>
  <si>
    <t xml:space="preserve">Les organiques decantes sont reintroduits DANS LES BENNES, avec la charge, ou ils sont absorbes par le papier et le carton. Jamais dans le circuit de vapeur : une chaudiere recevant des goudrons et des phenols se coke sur les tubes et devient le point de defaillance de l'installation. Double effet quand le parametre sera renseigne : moins de tonnage en elimination, et de l'huile supplementaire par recraquage a 600 degres C.</t>
  </si>
  <si>
    <t xml:space="preserve">BLOC E — RECETTES</t>
  </si>
  <si>
    <t xml:space="preserve">Gate fee</t>
  </si>
  <si>
    <t xml:space="preserve">110 EUR/T</t>
  </si>
  <si>
    <t xml:space="preserve">Variable d'ajustement du modele. Les references de marche sont traitees dans un document distinct, ce fichier ne contient aucune comparaison.</t>
  </si>
  <si>
    <t xml:space="preserve">641 EUR/T (scenario moyen)</t>
  </si>
  <si>
    <t xml:space="preserve">641 EUR/T</t>
  </si>
  <si>
    <t xml:space="preserve">INCHANGE AVEC RESERVE</t>
  </si>
  <si>
    <t xml:space="preserve">Reserve majeure : ce prix suppose un debouche vapocraqueur. Les specifications industrielles imposent Cl &lt;= 3 ppm ; le certificat NKKK annonce &lt; 100 ppm. Sans hydrotraitement, l'huile se vend en qualite combustible, autour de 350 EUR/T. Un selecteur de qualite est ajoute a l'onglet 1-Inputs.</t>
  </si>
  <si>
    <t xml:space="preserve">Rendement char sur organique</t>
  </si>
  <si>
    <t xml:space="preserve">69%</t>
  </si>
  <si>
    <t xml:space="preserve">Non verifie sur equipement UR (annexe technique F3). Un rendement char de 69% est tres eleve : la litterature donne 25 a 30% a 600 degres C. Attention, ce parametre est lie au gaz par le bilan matiere : plus de char signifie moins de gaz, donc moins d'autonomie energetique. On ne peut pas maximiser les deux.</t>
  </si>
  <si>
    <t xml:space="preserve">Prix du char</t>
  </si>
  <si>
    <t xml:space="preserve">100 EUR/T</t>
  </si>
  <si>
    <t xml:space="preserve">Debouche non demontre. Les referentiels IBI, EBC et Puro.earth excluent les OMR melangees. Selecteur de grade reintroduit en V6 (onglet 1-Inputs, K1).</t>
  </si>
  <si>
    <t xml:space="preserve">Credits carbone</t>
  </si>
  <si>
    <t xml:space="preserve">2,50 MEUR/an en recette, base 1,80 T CO2/T</t>
  </si>
  <si>
    <t xml:space="preserve">Saisie libre, a zero par defaut</t>
  </si>
  <si>
    <t xml:space="preserve">Le V3 calculait une recette a partir d'une comparaison avec l'incineration. Ce modele ne contient plus aucune comparaison : il decrit l'installation seule. La ligne de recette carbone est desormais pilotee par une saisie unique, cellule G2 de l'onglet 1-Inputs, exprimee en tonnes de CO2 par tonne traitee. Elle doit rester a zero tant qu'une certification n'est pas obtenue.</t>
  </si>
  <si>
    <t xml:space="preserve">Bilan carbone</t>
  </si>
  <si>
    <t xml:space="preserve">Calcul d'emissions evitees</t>
  </si>
  <si>
    <t xml:space="preserve">Inventaire de l'installation</t>
  </si>
  <si>
    <t xml:space="preserve">L'onglet 2-Production, bloc T6, suit desormais le carbone fossile entrant (celui des plastiques) et verifie qu'on le retrouve integralement en sortie : brule sur site, parti dans l'huile vendue, parti dans le char vendu, ou stocke dans le char elimine. La ligne C10 controle cette egalite. Deux grandeurs en ressortent : les emissions directes du site, seule assiette possible d'un quota ou d'une taxe, et l'energie exportee, base d'une future certification RED III ou ISCC.</t>
  </si>
  <si>
    <t xml:space="preserve">Metaux</t>
  </si>
  <si>
    <t xml:space="preserve">Recuperation implicite 100%</t>
  </si>
  <si>
    <t xml:space="preserve">Recuperation 100% conservee</t>
  </si>
  <si>
    <t xml:space="preserve">Les taux de recuperation du pre-tri (90% ferreux, 75% alu) sont deja appliques dans le V3. Coherent.</t>
  </si>
  <si>
    <t xml:space="preserve">Verre</t>
  </si>
  <si>
    <t xml:space="preserve">30 EUR/T</t>
  </si>
  <si>
    <t xml:space="preserve">BLOC V6 — CORRECTIONS DU 21/09/2026</t>
  </si>
  <si>
    <t xml:space="preserve">V6.1</t>
  </si>
  <si>
    <t xml:space="preserve">Dose de carbonate de calcium</t>
  </si>
  <si>
    <t xml:space="preserve">2,5 kg/T fixe (115 T/an)</t>
  </si>
  <si>
    <t xml:space="preserve">Liee au HCl : 100/73 x 1,25</t>
  </si>
  <si>
    <t xml:space="preserve">Le V5 posait moins que le minimum stoechiometrique : 144 T de HCl exigent au moins 197 T de CaCO3. La dose suit desormais le chlore calcule, donc la part de PVC. Le bilan matiere inclut le carbonate en entree, le CO2 degage et le carbonate en exces soutire avec les boues.</t>
  </si>
  <si>
    <t xml:space="preserve">V6.2</t>
  </si>
  <si>
    <t xml:space="preserve">Grades de char</t>
  </si>
  <si>
    <t xml:space="preserve">100 EUR/T seul</t>
  </si>
  <si>
    <t xml:space="preserve">Selecteur CSR 30 / briquettes 100 / biochar 350</t>
  </si>
  <si>
    <t xml:space="preserve">Point 9. Reprise du V3 section I. Le libelle du V5 annoncait un selecteur qui n existait pas.</t>
  </si>
  <si>
    <t xml:space="preserve">V6.3</t>
  </si>
  <si>
    <t xml:space="preserve">Interrupteurs pre-tri et post-tri</t>
  </si>
  <si>
    <t xml:space="preserve">Deux interrupteurs</t>
  </si>
  <si>
    <t xml:space="preserve">Point 10. Agissent sur les taux de recuperation, le criblage du char, le CAPEX des lignes et le personnel (4 + 3 ETP par unite).</t>
  </si>
  <si>
    <t xml:space="preserve">V6.4</t>
  </si>
  <si>
    <t xml:space="preserve">Comptes par segment</t>
  </si>
  <si>
    <t xml:space="preserve">Onglet 5-Segments</t>
  </si>
  <si>
    <t xml:space="preserve">Point 10. Resultat annuel de chaque ligne de tri, annee 3, elimination evitee comprise.</t>
  </si>
  <si>
    <t xml:space="preserve">V6.5</t>
  </si>
  <si>
    <t xml:space="preserve">Vente des recyclables au pre-tri</t>
  </si>
  <si>
    <t xml:space="preserve">Option, desactivee par defaut</t>
  </si>
  <si>
    <t xml:space="preserve">Point 11. PET, PEHD et carton retires avant reacteur ; recette sur la ligne Verre et recyclables. Le tri optique correspondant n est pas chiffre au CAPEX.</t>
  </si>
  <si>
    <t xml:space="preserve">V6.6</t>
  </si>
  <si>
    <t xml:space="preserve">Mode de gate fee par defaut</t>
  </si>
  <si>
    <t xml:space="preserve">Libelle : mode 2</t>
  </si>
  <si>
    <t xml:space="preserve">Cellule : mode 1 (110 EUR/T)</t>
  </si>
  <si>
    <t xml:space="preserve">Le libelle V5 indiquait le melange CDG par defaut alors que la cellule F1 etait a 1. Mode 1 conserve pour garder le cas de base comparable ; mode 2 donne 119 EUR/T.</t>
  </si>
  <si>
    <t xml:space="preserve">V6.7</t>
  </si>
  <si>
    <t xml:space="preserve">Renvoi a l onglet 6-Sensibilite</t>
  </si>
  <si>
    <t xml:space="preserve">Onglet inexistant</t>
  </si>
  <si>
    <t xml:space="preserve">Renvoi supprime</t>
  </si>
  <si>
    <t xml:space="preserve">Ligne T4.10 de 2-Production.</t>
  </si>
  <si>
    <t xml:space="preserve">BLOC V7 — 21/09/2026</t>
  </si>
  <si>
    <t xml:space="preserve">V7.1</t>
  </si>
  <si>
    <t xml:space="preserve">Debouche du char</t>
  </si>
  <si>
    <t xml:space="preserve">Selecteur a trois grades (CSR, briquettes, biochar)</t>
  </si>
  <si>
    <t xml:space="preserve">Deux hypotheses : combustible haute energie ou biochar</t>
  </si>
  <si>
    <t xml:space="preserve">MODIFIE</t>
  </si>
  <si>
    <t xml:space="preserve">Le char retient les goudrons figes pendant le refroidissement de 600 a 400 degres C : il est proche d un coke. Son prix est calcule par son PCI (25 MJ/kg) x un prix de l energie de substitution (4 EUR/GJ, a confirmer). Base inchangee a 100 EUR/T.</t>
  </si>
  <si>
    <t xml:space="preserve">V7.2</t>
  </si>
  <si>
    <t xml:space="preserve">PCI du char</t>
  </si>
  <si>
    <t xml:space="preserve">15 MJ/kg</t>
  </si>
  <si>
    <t xml:space="preserve">25 MJ/kg, lie au selecteur</t>
  </si>
  <si>
    <t xml:space="preserve">Coherence avec les annexes. N agit que sur l energie exportee (bloc T6).</t>
  </si>
  <si>
    <t xml:space="preserve">V7.3</t>
  </si>
  <si>
    <t xml:space="preserve">Capacite</t>
  </si>
  <si>
    <t xml:space="preserve">200 m3/j x masse volumique, cadence fixe</t>
  </si>
  <si>
    <t xml:space="preserve">Modele de cadence : godets, temps d etape, charge par godet</t>
  </si>
  <si>
    <t xml:space="preserve">Mode 2 : le temps d etape suit la charge par godet, avec une part fixe et un plancher. Les trois parametres L5, L6, L7 sont a confirmer par OneWorld. Mode 1 par defaut.</t>
  </si>
  <si>
    <t xml:space="preserve">ENTREES DU MODELE</t>
  </si>
  <si>
    <t xml:space="preserve">Bleu = saisie. Orange = valeur corrigee par rapport au V3. Jaune = hypothese structurante non verifiee.</t>
  </si>
  <si>
    <t xml:space="preserve">Ref</t>
  </si>
  <si>
    <t xml:space="preserve">Parametre</t>
  </si>
  <si>
    <t xml:space="preserve">Valeur</t>
  </si>
  <si>
    <t xml:space="preserve">Unite</t>
  </si>
  <si>
    <t xml:space="preserve">Source / commentaire</t>
  </si>
  <si>
    <t xml:space="preserve">A — CAPACITE</t>
  </si>
  <si>
    <t xml:space="preserve">A1</t>
  </si>
  <si>
    <t xml:space="preserve">Capacite nominale volumetrique par unite</t>
  </si>
  <si>
    <t xml:space="preserve">m3/j</t>
  </si>
  <si>
    <t xml:space="preserve">URC-2000. Capacite volumetrique : 16 lots x 3 godets x 4,17 m3</t>
  </si>
  <si>
    <t xml:space="preserve">A2</t>
  </si>
  <si>
    <t xml:space="preserve">Masse volumique des dechets</t>
  </si>
  <si>
    <t xml:space="preserve">T/m3</t>
  </si>
  <si>
    <t xml:space="preserve">V3 A2</t>
  </si>
  <si>
    <t xml:space="preserve">A3</t>
  </si>
  <si>
    <t xml:space="preserve">Nombre d'unites URC-2000</t>
  </si>
  <si>
    <t xml:space="preserve">unites</t>
  </si>
  <si>
    <t xml:space="preserve">MODIFIABLE. Tout le modele suit desormais ce nombre</t>
  </si>
  <si>
    <t xml:space="preserve">A4</t>
  </si>
  <si>
    <t xml:space="preserve">Jours d'exploitation par an</t>
  </si>
  <si>
    <t xml:space="preserve">j/an</t>
  </si>
  <si>
    <t xml:space="preserve">V3 A5. 35 jours de maintenance</t>
  </si>
  <si>
    <t xml:space="preserve">B — COMPOSITION DU DECHET</t>
  </si>
  <si>
    <t xml:space="preserve">B1</t>
  </si>
  <si>
    <t xml:space="preserve">Plastique</t>
  </si>
  <si>
    <t xml:space="preserve">%</t>
  </si>
  <si>
    <t xml:space="preserve">V3 B1. La fiche constructeur UR2000-JP calcule son cas de reference a 10% de resine</t>
  </si>
  <si>
    <t xml:space="preserve">B2</t>
  </si>
  <si>
    <t xml:space="preserve">Organique et cellulose</t>
  </si>
  <si>
    <t xml:space="preserve">V3 B2</t>
  </si>
  <si>
    <t xml:space="preserve">B3</t>
  </si>
  <si>
    <t xml:space="preserve">V3 B3</t>
  </si>
  <si>
    <t xml:space="preserve">B4</t>
  </si>
  <si>
    <t xml:space="preserve">V3 B4</t>
  </si>
  <si>
    <t xml:space="preserve">B5</t>
  </si>
  <si>
    <t xml:space="preserve">Inertes mineraux</t>
  </si>
  <si>
    <t xml:space="preserve">V3 B5</t>
  </si>
  <si>
    <t xml:space="preserve">B6</t>
  </si>
  <si>
    <t xml:space="preserve">ATTENTION : les OMR brutes sont a 25-35% d'humidite. 8% suppose une charge presechee ou un gisement sec (emballages, dechets aeroportuaires). L'annexe 2 fait son controle thermique a ~20%</t>
  </si>
  <si>
    <t xml:space="preserve">B7</t>
  </si>
  <si>
    <t xml:space="preserve">Autres</t>
  </si>
  <si>
    <t xml:space="preserve">V3 B7</t>
  </si>
  <si>
    <t xml:space="preserve">B8</t>
  </si>
  <si>
    <t xml:space="preserve">Taux de refus a l'entree</t>
  </si>
  <si>
    <t xml:space="preserve">V3 D7</t>
  </si>
  <si>
    <t xml:space="preserve">B9</t>
  </si>
  <si>
    <t xml:space="preserve">Part ferreuse des metaux</t>
  </si>
  <si>
    <t xml:space="preserve">V3 B2.1</t>
  </si>
  <si>
    <t xml:space="preserve">B10</t>
  </si>
  <si>
    <t xml:space="preserve">Part aluminium des metaux</t>
  </si>
  <si>
    <t xml:space="preserve">V3 B2.2</t>
  </si>
  <si>
    <t xml:space="preserve">C — RENDEMENTS</t>
  </si>
  <si>
    <t xml:space="preserve">C1</t>
  </si>
  <si>
    <t xml:space="preserve">Rendement huile sur plastique</t>
  </si>
  <si>
    <t xml:space="preserve">V3 E1, moyenne ponderee du mix polymere</t>
  </si>
  <si>
    <t xml:space="preserve">C2</t>
  </si>
  <si>
    <t xml:space="preserve">Rendement gaz sur plastique</t>
  </si>
  <si>
    <t xml:space="preserve">V3 E2</t>
  </si>
  <si>
    <t xml:space="preserve">C3</t>
  </si>
  <si>
    <t xml:space="preserve">Rendement residu solide sur plastique</t>
  </si>
  <si>
    <t xml:space="preserve">V3 E3</t>
  </si>
  <si>
    <t xml:space="preserve">C4</t>
  </si>
  <si>
    <t xml:space="preserve">V3 D1. NON VERIFIE. Litterature : 25 a 30% a 600 degres C. Lie au gaz par le bilan matiere</t>
  </si>
  <si>
    <t xml:space="preserve">C5</t>
  </si>
  <si>
    <t xml:space="preserve">Masse volumique de l'huile</t>
  </si>
  <si>
    <t xml:space="preserve">kg/L</t>
  </si>
  <si>
    <t xml:space="preserve">V3 D2</t>
  </si>
  <si>
    <t xml:space="preserve">D — ENERGIE (BLOC CORRIGE)</t>
  </si>
  <si>
    <t xml:space="preserve">D1</t>
  </si>
  <si>
    <t xml:space="preserve">PCI du gaz issu du plastique</t>
  </si>
  <si>
    <t xml:space="preserve">MJ/kg</t>
  </si>
  <si>
    <t xml:space="preserve">CORRIGE. Calcule sur le rapport GC B2002600 apres retrait du diluant (78,1% de N2 et O2). Etait 5,54</t>
  </si>
  <si>
    <t xml:space="preserve">D2</t>
  </si>
  <si>
    <t xml:space="preserve">PCI du gaz issu de l'organique</t>
  </si>
  <si>
    <t xml:space="preserve">CORRIGE. Neves et al., Chalmers, gaz de pyrolyse de biomasse a 600 degres C. Etait 0,5. Valeur hors depot, a mesurer</t>
  </si>
  <si>
    <t xml:space="preserve">D3</t>
  </si>
  <si>
    <t xml:space="preserve">MJ/T</t>
  </si>
  <si>
    <t xml:space="preserve">V3 D6. Recoupe par le bruleur de 833 kcal/s soit 3,49 MW</t>
  </si>
  <si>
    <t xml:space="preserve">D4</t>
  </si>
  <si>
    <t xml:space="preserve">D5</t>
  </si>
  <si>
    <t xml:space="preserve">% du besoin</t>
  </si>
  <si>
    <t xml:space="preserve">AJOUTE. Demarrages, arrets, flamme pilote</t>
  </si>
  <si>
    <t xml:space="preserve">D6</t>
  </si>
  <si>
    <t xml:space="preserve">PCI du fioul</t>
  </si>
  <si>
    <t xml:space="preserve">MJ/L</t>
  </si>
  <si>
    <t xml:space="preserve">D7</t>
  </si>
  <si>
    <t xml:space="preserve">PCI du char organique</t>
  </si>
  <si>
    <t xml:space="preserve">V7. Lie a K1a. Etait 15 MJ/kg (V3 D4), incoherent avec les annexes (~25)</t>
  </si>
  <si>
    <t xml:space="preserve">E — TRI</t>
  </si>
  <si>
    <t xml:space="preserve">E1</t>
  </si>
  <si>
    <t xml:space="preserve">Recuperation ferreux au pre-tri</t>
  </si>
  <si>
    <t xml:space="preserve">V3 P1</t>
  </si>
  <si>
    <t xml:space="preserve">E2</t>
  </si>
  <si>
    <t xml:space="preserve">Recuperation aluminium au pre-tri</t>
  </si>
  <si>
    <t xml:space="preserve">V3 P2</t>
  </si>
  <si>
    <t xml:space="preserve">E3</t>
  </si>
  <si>
    <t xml:space="preserve">Recuperation verre au pre-tri</t>
  </si>
  <si>
    <t xml:space="preserve">V3 P3</t>
  </si>
  <si>
    <t xml:space="preserve">E4</t>
  </si>
  <si>
    <t xml:space="preserve">Retrait des inertes au pre-tri</t>
  </si>
  <si>
    <t xml:space="preserve">V3 P6</t>
  </si>
  <si>
    <t xml:space="preserve">E5</t>
  </si>
  <si>
    <t xml:space="preserve">Criblage du char au post-tri</t>
  </si>
  <si>
    <t xml:space="preserve">V3 Q1</t>
  </si>
  <si>
    <t xml:space="preserve">E6</t>
  </si>
  <si>
    <t xml:space="preserve">Metaux recuperes du char</t>
  </si>
  <si>
    <t xml:space="preserve">V3 Q2</t>
  </si>
  <si>
    <t xml:space="preserve">E7</t>
  </si>
  <si>
    <t xml:space="preserve">Separation des inertes du char</t>
  </si>
  <si>
    <t xml:space="preserve">V3 Q3</t>
  </si>
  <si>
    <t xml:space="preserve">F — PRIX</t>
  </si>
  <si>
    <t xml:space="preserve">F1</t>
  </si>
  <si>
    <t xml:space="preserve">Mode de gate fee (1 = moyenne saisie, 2 = mix par type de dechet)</t>
  </si>
  <si>
    <t xml:space="preserve">-</t>
  </si>
  <si>
    <t xml:space="preserve">V5. Le mode 2 calcule la moyenne a partir du melange ci-dessous</t>
  </si>
  <si>
    <t xml:space="preserve">F1a</t>
  </si>
  <si>
    <t xml:space="preserve">Gate fee moyen saisi</t>
  </si>
  <si>
    <t xml:space="preserve">EUR/T</t>
  </si>
  <si>
    <t xml:space="preserve">Utilise si mode 1. Reference : SYCTOM 103 EUR/T hors TGAP ; melange CDG 109 EUR/T</t>
  </si>
  <si>
    <t xml:space="preserve">F1b</t>
  </si>
  <si>
    <t xml:space="preserve">Gate fee — OMR municipales</t>
  </si>
  <si>
    <t xml:space="preserve">Grille par type de dechet, reprise du V3 section G</t>
  </si>
  <si>
    <t xml:space="preserve">F1c</t>
  </si>
  <si>
    <t xml:space="preserve">Part OMR municipales</t>
  </si>
  <si>
    <t xml:space="preserve">% du tonnage</t>
  </si>
  <si>
    <t xml:space="preserve">Melange CDG de la reference gate fees</t>
  </si>
  <si>
    <t xml:space="preserve">F1d</t>
  </si>
  <si>
    <t xml:space="preserve">Gate fee — industriel et logistique</t>
  </si>
  <si>
    <t xml:space="preserve">F1e</t>
  </si>
  <si>
    <t xml:space="preserve">Part industriel et logistique</t>
  </si>
  <si>
    <t xml:space="preserve">F1f</t>
  </si>
  <si>
    <t xml:space="preserve">Gate fee — dechets aeroportuaires</t>
  </si>
  <si>
    <t xml:space="preserve">Prime de biosecurite</t>
  </si>
  <si>
    <t xml:space="preserve">F1g</t>
  </si>
  <si>
    <t xml:space="preserve">Part dechets aeroportuaires</t>
  </si>
  <si>
    <t xml:space="preserve">F1h</t>
  </si>
  <si>
    <t xml:space="preserve">Gate fee — composites</t>
  </si>
  <si>
    <t xml:space="preserve">Pales d'eoliennes, composites aeronautiques</t>
  </si>
  <si>
    <t xml:space="preserve">F1i</t>
  </si>
  <si>
    <t xml:space="preserve">Part composites</t>
  </si>
  <si>
    <t xml:space="preserve">F1j</t>
  </si>
  <si>
    <t xml:space="preserve">Gate fee — DASRI</t>
  </si>
  <si>
    <t xml:space="preserve">Dechets de soins a risques infectieux</t>
  </si>
  <si>
    <t xml:space="preserve">F1k</t>
  </si>
  <si>
    <t xml:space="preserve">Part DASRI</t>
  </si>
  <si>
    <t xml:space="preserve">Levier principal pour un retour sur investissement court</t>
  </si>
  <si>
    <t xml:space="preserve">F1l</t>
  </si>
  <si>
    <t xml:space="preserve">Gate fee — pneus</t>
  </si>
  <si>
    <t xml:space="preserve">Souvent faible, collecte financee par la REP</t>
  </si>
  <si>
    <t xml:space="preserve">F1m</t>
  </si>
  <si>
    <t xml:space="preserve">Part pneus</t>
  </si>
  <si>
    <t xml:space="preserve">F1n</t>
  </si>
  <si>
    <t xml:space="preserve">Controle : somme des parts</t>
  </si>
  <si>
    <t xml:space="preserve">Doit valoir 100%</t>
  </si>
  <si>
    <t xml:space="preserve">F1o</t>
  </si>
  <si>
    <t xml:space="preserve">Gate fee du melange</t>
  </si>
  <si>
    <t xml:space="preserve">Moyenne ponderee par le tonnage</t>
  </si>
  <si>
    <t xml:space="preserve">F1p</t>
  </si>
  <si>
    <t xml:space="preserve">GATE FEE RETENU</t>
  </si>
  <si>
    <t xml:space="preserve">Valeur utilisee dans le compte de resultat</t>
  </si>
  <si>
    <t xml:space="preserve">F2</t>
  </si>
  <si>
    <t xml:space="preserve">Scenario de prix de l'huile (1 = bas, 2 = moyen, 3 = haut)</t>
  </si>
  <si>
    <t xml:space="preserve">V5. Reprise du V3 section H. Bas : brut non differencie. Moyen : spot ICIS par fraction. Haut : prime ISCC</t>
  </si>
  <si>
    <t xml:space="preserve">F2a</t>
  </si>
  <si>
    <t xml:space="preserve">Part fraction legere (C5-C8)</t>
  </si>
  <si>
    <t xml:space="preserve">Specification constructeur, annexe 3</t>
  </si>
  <si>
    <t xml:space="preserve">F2b</t>
  </si>
  <si>
    <t xml:space="preserve">Fraction legere — bas / moyen / haut</t>
  </si>
  <si>
    <t xml:space="preserve">bas</t>
  </si>
  <si>
    <t xml:space="preserve">F2c</t>
  </si>
  <si>
    <t xml:space="preserve">moyen</t>
  </si>
  <si>
    <t xml:space="preserve">F2d</t>
  </si>
  <si>
    <t xml:space="preserve">haut</t>
  </si>
  <si>
    <t xml:space="preserve">F2e</t>
  </si>
  <si>
    <t xml:space="preserve">Part fraction gazole (C8-C16)</t>
  </si>
  <si>
    <t xml:space="preserve">F2f</t>
  </si>
  <si>
    <t xml:space="preserve">Fraction gazole — bas / moyen / haut</t>
  </si>
  <si>
    <t xml:space="preserve">F2g</t>
  </si>
  <si>
    <t xml:space="preserve">moyen : spot pyrolyse Pays-Bas ~670 EUR/T</t>
  </si>
  <si>
    <t xml:space="preserve">F2h</t>
  </si>
  <si>
    <t xml:space="preserve">F2i</t>
  </si>
  <si>
    <t xml:space="preserve">Part fraction lourde (C16+)</t>
  </si>
  <si>
    <t xml:space="preserve">F2j</t>
  </si>
  <si>
    <t xml:space="preserve">Fraction lourde — bas / moyen / haut</t>
  </si>
  <si>
    <t xml:space="preserve">F2k</t>
  </si>
  <si>
    <t xml:space="preserve">F2l</t>
  </si>
  <si>
    <t xml:space="preserve">F2m</t>
  </si>
  <si>
    <t xml:space="preserve">PRIX DE L'HUILE RETENU</t>
  </si>
  <si>
    <t xml:space="preserve">Bas 480, moyen 641, haut 895. Remplace le prix combustible a 350 du V4, sans source</t>
  </si>
  <si>
    <t xml:space="preserve">F5</t>
  </si>
  <si>
    <t xml:space="preserve">V7. Calcule a partir du selecteur K1 (deux hypotheses)</t>
  </si>
  <si>
    <t xml:space="preserve">F6</t>
  </si>
  <si>
    <t xml:space="preserve">Prix ferreux</t>
  </si>
  <si>
    <t xml:space="preserve">V3 J1</t>
  </si>
  <si>
    <t xml:space="preserve">F7</t>
  </si>
  <si>
    <t xml:space="preserve">Prix aluminium</t>
  </si>
  <si>
    <t xml:space="preserve">V3 J2</t>
  </si>
  <si>
    <t xml:space="preserve">F8</t>
  </si>
  <si>
    <t xml:space="preserve">Prix autres metaux</t>
  </si>
  <si>
    <t xml:space="preserve">V3 J3</t>
  </si>
  <si>
    <t xml:space="preserve">F9</t>
  </si>
  <si>
    <t xml:space="preserve">Prix du verre</t>
  </si>
  <si>
    <t xml:space="preserve">V3 J5</t>
  </si>
  <si>
    <t xml:space="preserve">F10</t>
  </si>
  <si>
    <t xml:space="preserve">Cout d'elimination des residus</t>
  </si>
  <si>
    <t xml:space="preserve">V3 K1</t>
  </si>
  <si>
    <t xml:space="preserve">F11</t>
  </si>
  <si>
    <t xml:space="preserve">EUR/L</t>
  </si>
  <si>
    <t xml:space="preserve">CORRIGE. GNR livre France 2026. Etait 0,40</t>
  </si>
  <si>
    <t xml:space="preserve">F12</t>
  </si>
  <si>
    <t xml:space="preserve">EUR/kWh</t>
  </si>
  <si>
    <t xml:space="preserve">V3 K3</t>
  </si>
  <si>
    <t xml:space="preserve">G — CARBONE DE L'INSTALLATION</t>
  </si>
  <si>
    <t xml:space="preserve">G1</t>
  </si>
  <si>
    <t xml:space="preserve">Recette carbone active (1 = oui, 0 = non)</t>
  </si>
  <si>
    <t xml:space="preserve">Aucun mecanisme eligible identifie a ce jour. Voir la note de l'onglet 0-Revisions</t>
  </si>
  <si>
    <t xml:space="preserve">G2</t>
  </si>
  <si>
    <t xml:space="preserve">Reduction carbone certifiee retenue</t>
  </si>
  <si>
    <t xml:space="preserve">T CO2/T traitee</t>
  </si>
  <si>
    <t xml:space="preserve">SAISIE LIBRE. A renseigner uniquement sur la base d'une certification obtenue (RED III / RCF, ISCC, ou methodologie volontaire approuvee). Toute valeur non certifiee doit rester a zero</t>
  </si>
  <si>
    <t xml:space="preserve">G3</t>
  </si>
  <si>
    <t xml:space="preserve">Prix retenu</t>
  </si>
  <si>
    <t xml:space="preserve">EUR/T CO2</t>
  </si>
  <si>
    <t xml:space="preserve">V3 L1</t>
  </si>
  <si>
    <t xml:space="preserve">G4</t>
  </si>
  <si>
    <t xml:space="preserve">Teneur en carbone des plastiques</t>
  </si>
  <si>
    <t xml:space="preserve">Polyolefines : carbone et hydrogene uniquement, 85,7% de carbone</t>
  </si>
  <si>
    <t xml:space="preserve">G5</t>
  </si>
  <si>
    <t xml:space="preserve">Teneur en carbone de la fraction organique</t>
  </si>
  <si>
    <t xml:space="preserve">Papier, bois, cellulose. Carbone biogenique</t>
  </si>
  <si>
    <t xml:space="preserve">G6</t>
  </si>
  <si>
    <t xml:space="preserve">Teneur en carbone du gaz de procede</t>
  </si>
  <si>
    <t xml:space="preserve">Melange H2, CH4, C2-C3</t>
  </si>
  <si>
    <t xml:space="preserve">G7</t>
  </si>
  <si>
    <t xml:space="preserve">Teneur en carbone du residu plastique</t>
  </si>
  <si>
    <t xml:space="preserve">G8</t>
  </si>
  <si>
    <t xml:space="preserve">Teneur en carbone du char organique</t>
  </si>
  <si>
    <t xml:space="preserve">Char d'OMR, taux de cendres eleve</t>
  </si>
  <si>
    <t xml:space="preserve">G9</t>
  </si>
  <si>
    <t xml:space="preserve">CO2 par tonne d'huile brulee</t>
  </si>
  <si>
    <t xml:space="preserve">T CO2/T</t>
  </si>
  <si>
    <t xml:space="preserve">Hydrocarbure fossile. Emission de l'utilisateur final, pas du site</t>
  </si>
  <si>
    <t xml:space="preserve">G10</t>
  </si>
  <si>
    <t xml:space="preserve">CO2 du fioul</t>
  </si>
  <si>
    <t xml:space="preserve">V3 L3</t>
  </si>
  <si>
    <t xml:space="preserve">G11</t>
  </si>
  <si>
    <t xml:space="preserve">PCI de l'huile</t>
  </si>
  <si>
    <t xml:space="preserve">GJ/T</t>
  </si>
  <si>
    <t xml:space="preserve">Mesure NKKK : 43,27 MJ/kg</t>
  </si>
  <si>
    <t xml:space="preserve">G12</t>
  </si>
  <si>
    <t xml:space="preserve">PCI du residu plastique</t>
  </si>
  <si>
    <t xml:space="preserve">V3 D5</t>
  </si>
  <si>
    <t xml:space="preserve">H — COUTS D'EXPLOITATION</t>
  </si>
  <si>
    <t xml:space="preserve">H1</t>
  </si>
  <si>
    <t xml:space="preserve">ETP coeur — premiere unite</t>
  </si>
  <si>
    <t xml:space="preserve">ETP</t>
  </si>
  <si>
    <t xml:space="preserve">V3 M1+M2+M3</t>
  </si>
  <si>
    <t xml:space="preserve">H2</t>
  </si>
  <si>
    <t xml:space="preserve">ETP coeur — par unite supplementaire</t>
  </si>
  <si>
    <t xml:space="preserve">H3</t>
  </si>
  <si>
    <t xml:space="preserve">ETP tri par unite</t>
  </si>
  <si>
    <t xml:space="preserve">V6. Calcule : 4 ETP pre-tri + 3 ETP post-tri, selon les interrupteurs K2 et K3</t>
  </si>
  <si>
    <t xml:space="preserve">H4</t>
  </si>
  <si>
    <t xml:space="preserve">Cout charge par ETP</t>
  </si>
  <si>
    <t xml:space="preserve">EUR/an</t>
  </si>
  <si>
    <t xml:space="preserve">V3 M4</t>
  </si>
  <si>
    <t xml:space="preserve">H5</t>
  </si>
  <si>
    <t xml:space="preserve">Maintenance — annees 1 a 4</t>
  </si>
  <si>
    <t xml:space="preserve">% equipement</t>
  </si>
  <si>
    <t xml:space="preserve">CORRIGE. Equipement neuf sous garantie constructeur</t>
  </si>
  <si>
    <t xml:space="preserve">H5b</t>
  </si>
  <si>
    <t xml:space="preserve">Maintenance — regime etabli</t>
  </si>
  <si>
    <t xml:space="preserve">V3 M7. Atteint en annee 10</t>
  </si>
  <si>
    <t xml:space="preserve">H5c</t>
  </si>
  <si>
    <t xml:space="preserve">Derniere annee au taux bas</t>
  </si>
  <si>
    <t xml:space="preserve">annee</t>
  </si>
  <si>
    <t xml:space="preserve">Montee progressive a partir de l'annee suivante</t>
  </si>
  <si>
    <t xml:space="preserve">H5d</t>
  </si>
  <si>
    <t xml:space="preserve">Annee d'atteinte du regime etabli</t>
  </si>
  <si>
    <t xml:space="preserve">Interpolation lineaire entre les deux</t>
  </si>
  <si>
    <t xml:space="preserve">H6</t>
  </si>
  <si>
    <t xml:space="preserve">% CAPEX</t>
  </si>
  <si>
    <t xml:space="preserve">V3 M8</t>
  </si>
  <si>
    <t xml:space="preserve">H7</t>
  </si>
  <si>
    <t xml:space="preserve">Electricite par unite</t>
  </si>
  <si>
    <t xml:space="preserve">kWh/j</t>
  </si>
  <si>
    <t xml:space="preserve">CORRIGE. Etait 4 800. Cale sur les 15 a 20 kWh/T mesures (donnees Ichimura)</t>
  </si>
  <si>
    <t xml:space="preserve">H8</t>
  </si>
  <si>
    <t xml:space="preserve">V3 M10</t>
  </si>
  <si>
    <t xml:space="preserve">H9</t>
  </si>
  <si>
    <t xml:space="preserve">Couche catalytique d'adsorption des halogenes — cout annuel</t>
  </si>
  <si>
    <t xml:space="preserve">EUR/an/unite</t>
  </si>
  <si>
    <r>
      <rPr>
        <i val="true"/>
        <sz val="9"/>
        <color rgb="FF595959"/>
        <rFont val="Arial"/>
        <family val="0"/>
        <charset val="1"/>
      </rPr>
      <t xml:space="preserve">AJOUTE. INCONNU. Le document UR2000-JP decrit une couche catalytique captant le chlore en phase gazeuse, avant condenseur (</t>
    </r>
    <r>
      <rPr>
        <i val="true"/>
        <sz val="9"/>
        <color rgb="FF595959"/>
        <rFont val="Noto Sans CJK SC"/>
        <family val="2"/>
      </rPr>
      <t xml:space="preserve">触媒槽・塩素除去</t>
    </r>
    <r>
      <rPr>
        <i val="true"/>
        <sz val="9"/>
        <color rgb="FF595959"/>
        <rFont val="Arial"/>
        <family val="0"/>
        <charset val="1"/>
      </rPr>
      <t xml:space="preserve">), mais ne donne ni capacite d'adsorption, ni duree de vie, ni prix. Valeur d'attente, a remplacer par le chiffre OneWorld</t>
    </r>
  </si>
  <si>
    <t xml:space="preserve">H10</t>
  </si>
  <si>
    <t xml:space="preserve">Ceramique SEA CORAL — remplacement annuel</t>
  </si>
  <si>
    <t xml:space="preserve">AJOUTE. INCONNU. Environ 22 modules de 500 L/jour par machine. Valeur d'attente</t>
  </si>
  <si>
    <t xml:space="preserve">H11</t>
  </si>
  <si>
    <t xml:space="preserve">Taux de recuperation d'eau du SEA CORAL</t>
  </si>
  <si>
    <t xml:space="preserve">Derive de l'essai de dessalement : chlorures 31 000 mg/L en entree, 140 000 mg/L dans le concentrat</t>
  </si>
  <si>
    <t xml:space="preserve">H12</t>
  </si>
  <si>
    <t xml:space="preserve">Cout d'elimination du concentrat</t>
  </si>
  <si>
    <t xml:space="preserve">CORRIGE. Apres neutralisation au carbonate de calcium, le concentrat est un melange de chlorure et de fluorure de calcium, non acide. Tarif de dechet non dangereux retenu. A confirmer par analyse (metaux lourds)</t>
  </si>
  <si>
    <t xml:space="preserve">H12b</t>
  </si>
  <si>
    <t xml:space="preserve">Carbonate de calcium — consommation</t>
  </si>
  <si>
    <t xml:space="preserve">kg/T traitee</t>
  </si>
  <si>
    <t xml:space="preserve">V6. CALCULE, n est plus une saisie. Lie au HCl du PVC (ligne T3.5b) x 100/73 x exces K12. Le 2,5 kg/T du V5 etait sous le minimum stoechiometrique</t>
  </si>
  <si>
    <t xml:space="preserve">H12c</t>
  </si>
  <si>
    <t xml:space="preserve">Carbonate de calcium — prix</t>
  </si>
  <si>
    <t xml:space="preserve">AJOUTE. Calcaire concasse en vrac</t>
  </si>
  <si>
    <t xml:space="preserve">H12d</t>
  </si>
  <si>
    <t xml:space="preserve">Charbon actif — cout annuel</t>
  </si>
  <si>
    <t xml:space="preserve">AJOUTE. Affinage des phenols et de l'ammoniaque si rejet au milieu naturel. A mettre a ZERO si l'eau reste en boucle fermee sur site</t>
  </si>
  <si>
    <t xml:space="preserve">H14</t>
  </si>
  <si>
    <t xml:space="preserve">Teneur en phase organique de l'eau de procede</t>
  </si>
  <si>
    <t xml:space="preserve">AJOUTE. INCONNU. Phase surnageante recuperee au decanteur apres neutralisation. A mesurer</t>
  </si>
  <si>
    <t xml:space="preserve">H15</t>
  </si>
  <si>
    <t xml:space="preserve">Part de la phase organique recyclee en benne</t>
  </si>
  <si>
    <t xml:space="preserve">AJOUTE. A ZERO par defaut. Reglage a faire une fois la mesure disponible. Les organiques repassent a 600 degres C avec la charge et se craquent</t>
  </si>
  <si>
    <t xml:space="preserve">H16</t>
  </si>
  <si>
    <t xml:space="preserve">Rendement huile au recyclage</t>
  </si>
  <si>
    <t xml:space="preserve">AJOUTE. Molecules deja pyrolysees, riches en carbone, recraquees</t>
  </si>
  <si>
    <t xml:space="preserve">H13</t>
  </si>
  <si>
    <t xml:space="preserve">Electricite du SEA CORAL</t>
  </si>
  <si>
    <t xml:space="preserve">NON AJOUTE. Environ 22 modules a 250 W, soit 132 kWh/jour, deja compris dans la consommation electrique de la machine (ligne H7)</t>
  </si>
  <si>
    <t xml:space="preserve">I — CAPEX</t>
  </si>
  <si>
    <t xml:space="preserve">I1</t>
  </si>
  <si>
    <t xml:space="preserve">Machine URC-2000</t>
  </si>
  <si>
    <t xml:space="preserve">EUR</t>
  </si>
  <si>
    <t xml:space="preserve">I2</t>
  </si>
  <si>
    <t xml:space="preserve">Installation et mise en service</t>
  </si>
  <si>
    <t xml:space="preserve">I3</t>
  </si>
  <si>
    <t xml:space="preserve">Fret</t>
  </si>
  <si>
    <t xml:space="preserve">I4</t>
  </si>
  <si>
    <t xml:space="preserve">Formation</t>
  </si>
  <si>
    <t xml:space="preserve">I5</t>
  </si>
  <si>
    <t xml:space="preserve">Accessoires et pieces</t>
  </si>
  <si>
    <t xml:space="preserve">I6a</t>
  </si>
  <si>
    <t xml:space="preserve">Usine de traitement — surface, 1re unite</t>
  </si>
  <si>
    <t xml:space="preserve">m2</t>
  </si>
  <si>
    <t xml:space="preserve">Plans UR2000-JP, plan single/200t</t>
  </si>
  <si>
    <t xml:space="preserve">I6b</t>
  </si>
  <si>
    <t xml:space="preserve">Usine de traitement — variation par unite ajoutee</t>
  </si>
  <si>
    <t xml:space="preserve">Plans : 2 846 m2/unite a N=5 (14 230 / 5)</t>
  </si>
  <si>
    <t xml:space="preserve">I6c</t>
  </si>
  <si>
    <t xml:space="preserve">Usine de traitement — prix</t>
  </si>
  <si>
    <t xml:space="preserve">EUR/m2</t>
  </si>
  <si>
    <t xml:space="preserve">Atelier de production, 10 a 12,5 m sous ferme, dalle 5 T/m2, compartimentage incendie, ICPE. Marche francais : atelier de production 500 a 1 000 EUR/m2</t>
  </si>
  <si>
    <t xml:space="preserve">I7a</t>
  </si>
  <si>
    <t xml:space="preserve">Stockage dechets — surface, 1re unite</t>
  </si>
  <si>
    <t xml:space="preserve">Plans UR2000-JP</t>
  </si>
  <si>
    <t xml:space="preserve">I7b</t>
  </si>
  <si>
    <t xml:space="preserve">Stockage dechets — variation par unite ajoutee</t>
  </si>
  <si>
    <t xml:space="preserve">Plans : 690 m2/unite a N=5 (3 450 / 5)</t>
  </si>
  <si>
    <t xml:space="preserve">I7c</t>
  </si>
  <si>
    <t xml:space="preserve">Stockage dechets — prix</t>
  </si>
  <si>
    <t xml:space="preserve">Hangar de stockage beton. Marche francais : 350 a 450 EUR/m2 en charpente metallique, 500 EUR/m2 retenu pour du RC</t>
  </si>
  <si>
    <t xml:space="preserve">I8a</t>
  </si>
  <si>
    <t xml:space="preserve">Stockage produits — surface, 1re unite</t>
  </si>
  <si>
    <t xml:space="preserve">I8b</t>
  </si>
  <si>
    <t xml:space="preserve">Stockage produits — variation par unite ajoutee</t>
  </si>
  <si>
    <t xml:space="preserve">Plans : 690 m2/unite a N=5</t>
  </si>
  <si>
    <t xml:space="preserve">I8c</t>
  </si>
  <si>
    <t xml:space="preserve">Stockage produits — prix</t>
  </si>
  <si>
    <t xml:space="preserve">Idem stockage dechets</t>
  </si>
  <si>
    <t xml:space="preserve">I9a</t>
  </si>
  <si>
    <t xml:space="preserve">Bureaux et locaux — surface, 1re unite</t>
  </si>
  <si>
    <t xml:space="preserve">I9b</t>
  </si>
  <si>
    <t xml:space="preserve">Bureaux — variation par unite ajoutee</t>
  </si>
  <si>
    <t xml:space="preserve">Plans : 128 m2/unite a N=5 (640 / 5). Plancher a 64 m2/unite</t>
  </si>
  <si>
    <t xml:space="preserve">I9c</t>
  </si>
  <si>
    <t xml:space="preserve">Bureaux — prix</t>
  </si>
  <si>
    <t xml:space="preserve">Tertiaire industriel, second oeuvre complet</t>
  </si>
  <si>
    <t xml:space="preserve">I9d</t>
  </si>
  <si>
    <t xml:space="preserve">VRD, fondations renforcees, raccordements — 1re unite</t>
  </si>
  <si>
    <t xml:space="preserve">AJOUTE. Voirie, reseaux, poste de livraison HTA, defense incendie, retention. Dalle a 5 T/m2 exigee par UR2000-JP</t>
  </si>
  <si>
    <t xml:space="preserve">I9e</t>
  </si>
  <si>
    <t xml:space="preserve">VRD — par unite ajoutee</t>
  </si>
  <si>
    <t xml:space="preserve">I10</t>
  </si>
  <si>
    <t xml:space="preserve">Emprise fonciere — premiere unite</t>
  </si>
  <si>
    <t xml:space="preserve">UR2000-JP : (99 + 18) x 45 m. Indicatif</t>
  </si>
  <si>
    <t xml:space="preserve">I11</t>
  </si>
  <si>
    <t xml:space="preserve">Ligne de pre-tri par unite</t>
  </si>
  <si>
    <t xml:space="preserve">CORRIGE. V3, desormais x N</t>
  </si>
  <si>
    <t xml:space="preserve">I12</t>
  </si>
  <si>
    <t xml:space="preserve">Ligne de post-tri par unite</t>
  </si>
  <si>
    <t xml:space="preserve">I13</t>
  </si>
  <si>
    <t xml:space="preserve">ATEX et depoussierage par unite</t>
  </si>
  <si>
    <t xml:space="preserve">I14</t>
  </si>
  <si>
    <t xml:space="preserve">Ingenierie, ICPE, MOE — premiere unite</t>
  </si>
  <si>
    <t xml:space="preserve">I15</t>
  </si>
  <si>
    <t xml:space="preserve">Ingenierie — majoration par unite ajoutee</t>
  </si>
  <si>
    <t xml:space="preserve">I16</t>
  </si>
  <si>
    <t xml:space="preserve">Aleas</t>
  </si>
  <si>
    <t xml:space="preserve">J — FINANCEMENT</t>
  </si>
  <si>
    <t xml:space="preserve">J1</t>
  </si>
  <si>
    <t xml:space="preserve">Part de dette</t>
  </si>
  <si>
    <t xml:space="preserve">V3 F1</t>
  </si>
  <si>
    <t xml:space="preserve">J2</t>
  </si>
  <si>
    <t xml:space="preserve">Taux d'interet</t>
  </si>
  <si>
    <t xml:space="preserve">V3 F2</t>
  </si>
  <si>
    <t xml:space="preserve">J3</t>
  </si>
  <si>
    <t xml:space="preserve">Duree du pret</t>
  </si>
  <si>
    <t xml:space="preserve">ans</t>
  </si>
  <si>
    <t xml:space="preserve">V3 F3</t>
  </si>
  <si>
    <t xml:space="preserve">J4</t>
  </si>
  <si>
    <t xml:space="preserve">Impot sur les societes</t>
  </si>
  <si>
    <t xml:space="preserve">V3 F4</t>
  </si>
  <si>
    <t xml:space="preserve">J5</t>
  </si>
  <si>
    <t xml:space="preserve">Duree d'amortissement</t>
  </si>
  <si>
    <t xml:space="preserve">V3 F5</t>
  </si>
  <si>
    <t xml:space="preserve">J6</t>
  </si>
  <si>
    <t xml:space="preserve">Inflation</t>
  </si>
  <si>
    <t xml:space="preserve">V3 F6</t>
  </si>
  <si>
    <t xml:space="preserve">J7</t>
  </si>
  <si>
    <t xml:space="preserve">Taux de charge annee 1</t>
  </si>
  <si>
    <t xml:space="preserve">V3 S1</t>
  </si>
  <si>
    <t xml:space="preserve">J8</t>
  </si>
  <si>
    <t xml:space="preserve">Taux de charge annee 2</t>
  </si>
  <si>
    <t xml:space="preserve">V3 S2</t>
  </si>
  <si>
    <t xml:space="preserve">J9</t>
  </si>
  <si>
    <t xml:space="preserve">Taux d'actualisation (CMPC)</t>
  </si>
  <si>
    <t xml:space="preserve">V5. Reprise du V3 F7. Sert a la VAN du projet</t>
  </si>
  <si>
    <t xml:space="preserve">J10</t>
  </si>
  <si>
    <t xml:space="preserve">% du chiffre d'affaires</t>
  </si>
  <si>
    <t xml:space="preserve">V5. Reprise du V3 F8. Creances clients moins dettes fournisseurs. Recupere en fin d'horizon</t>
  </si>
  <si>
    <t xml:space="preserve">K — V6 : GRADES DE CHAR, LIGNES DE TRI, RECYCLABLES, NEUTRALISATION</t>
  </si>
  <si>
    <t xml:space="preserve">K1</t>
  </si>
  <si>
    <t xml:space="preserve">Debouche du char (1 = combustible haute energie, 2 = biochar)</t>
  </si>
  <si>
    <t xml:space="preserve">V7. Deux hypotheses. 1 : char impregne de goudrons figes entre 600 et 400 degres C, proche d un coke. 2 : biochar</t>
  </si>
  <si>
    <t xml:space="preserve">K1a</t>
  </si>
  <si>
    <t xml:space="preserve">PCI du char haute energie</t>
  </si>
  <si>
    <t xml:space="preserve">Annexes : ~25 MJ/kg ; coke de petrole 25 a 30 MJ/kg. Les goudrons figes dans les pores relevent le PCI. A mesurer (calorimetre)</t>
  </si>
  <si>
    <t xml:space="preserve">K1b</t>
  </si>
  <si>
    <t xml:space="preserve">Prix de l energie de substitution</t>
  </si>
  <si>
    <t xml:space="preserve">EUR/GJ</t>
  </si>
  <si>
    <t xml:space="preserve">Parite avec le charbon vapeur ou le petcoke livre cimenterie. A CONFIRMER par une offre d enlevement</t>
  </si>
  <si>
    <t xml:space="preserve">K1c</t>
  </si>
  <si>
    <t xml:space="preserve">Prix du char — combustible haute energie</t>
  </si>
  <si>
    <t xml:space="preserve">Calcule : PCI x prix de l energie. 25 x 4 = 100 EUR/T, egal a la base V5</t>
  </si>
  <si>
    <t xml:space="preserve">K1d</t>
  </si>
  <si>
    <t xml:space="preserve">Prix du char — biochar</t>
  </si>
  <si>
    <t xml:space="preserve">V3 I3. Les annexes retiennent 150. ATTENTION : IBI, EBC et Puro.earth excluent les OMR melangees ; accessible seulement sur gisement trie</t>
  </si>
  <si>
    <t xml:space="preserve">K2</t>
  </si>
  <si>
    <t xml:space="preserve">Ligne de pre-tri active (1 = oui, 0 = non)</t>
  </si>
  <si>
    <t xml:space="preserve">V6. Reprise des interrupteurs du V3. Agit sur recuperation, CAPEX et personnel</t>
  </si>
  <si>
    <t xml:space="preserve">K3</t>
  </si>
  <si>
    <t xml:space="preserve">Ligne de post-tri active (1 = oui, 0 = non)</t>
  </si>
  <si>
    <t xml:space="preserve">V6. Sans post-tri : pas de metaux recuperes dans le char, char vendu non crible. Choisir alors le grade CSR</t>
  </si>
  <si>
    <t xml:space="preserve">K4</t>
  </si>
  <si>
    <t xml:space="preserve">ETP pre-tri par unite</t>
  </si>
  <si>
    <t xml:space="preserve">V3 M5. Remplace la ligne H3 globale de 7 ETP</t>
  </si>
  <si>
    <t xml:space="preserve">K5</t>
  </si>
  <si>
    <t xml:space="preserve">ETP post-tri par unite</t>
  </si>
  <si>
    <t xml:space="preserve">V3 M6</t>
  </si>
  <si>
    <t xml:space="preserve">K6</t>
  </si>
  <si>
    <t xml:space="preserve">Recuperation ferreux au pre-tri — effective</t>
  </si>
  <si>
    <t xml:space="preserve">Calcule. E1 x interrupteur pre-tri</t>
  </si>
  <si>
    <t xml:space="preserve">K7</t>
  </si>
  <si>
    <t xml:space="preserve">Recuperation aluminium au pre-tri — effective</t>
  </si>
  <si>
    <t xml:space="preserve">Calcule</t>
  </si>
  <si>
    <t xml:space="preserve">K8</t>
  </si>
  <si>
    <t xml:space="preserve">Recuperation verre au pre-tri — effective</t>
  </si>
  <si>
    <t xml:space="preserve">K9</t>
  </si>
  <si>
    <t xml:space="preserve">Criblage du char — effectif</t>
  </si>
  <si>
    <t xml:space="preserve">Calcule. Sans post-tri, tout le char part a la vente, fines comprises</t>
  </si>
  <si>
    <t xml:space="preserve">K10</t>
  </si>
  <si>
    <t xml:space="preserve">Metaux recuperes du char — effectif</t>
  </si>
  <si>
    <t xml:space="preserve">Calcule. Sans post-tri, les metaux restes dans le char partent en elimination</t>
  </si>
  <si>
    <t xml:space="preserve">K11</t>
  </si>
  <si>
    <t xml:space="preserve">Vente des recyclables au pre-tri (1 = oui, 0 = non)</t>
  </si>
  <si>
    <t xml:space="preserve">V6. Reprise du V3, desactivee par defaut. Retire de la matiere au reacteur : moins d huile et de char</t>
  </si>
  <si>
    <t xml:space="preserve">K11a</t>
  </si>
  <si>
    <t xml:space="preserve">Part du plastique extraite (PET, PEHD)</t>
  </si>
  <si>
    <t xml:space="preserve">% du plastique</t>
  </si>
  <si>
    <t xml:space="preserve">V3. Tri optique a installer ; non chiffre dans le CAPEX pre-tri actuel, a verifier</t>
  </si>
  <si>
    <t xml:space="preserve">K11b</t>
  </si>
  <si>
    <t xml:space="preserve">Prix PET / PEHD en balles</t>
  </si>
  <si>
    <t xml:space="preserve">V3. Balles non lavees, a confirmer</t>
  </si>
  <si>
    <t xml:space="preserve">K11c</t>
  </si>
  <si>
    <t xml:space="preserve">Part de la fraction organique extraite (carton)</t>
  </si>
  <si>
    <t xml:space="preserve">% organique</t>
  </si>
  <si>
    <t xml:space="preserve">K11d</t>
  </si>
  <si>
    <t xml:space="preserve">Prix du carton</t>
  </si>
  <si>
    <t xml:space="preserve">V3. Tres volatil</t>
  </si>
  <si>
    <t xml:space="preserve">K11e</t>
  </si>
  <si>
    <t xml:space="preserve">Recyclables — interrupteur effectif</t>
  </si>
  <si>
    <t xml:space="preserve">Calcule. Pas de recyclables sans ligne de pre-tri</t>
  </si>
  <si>
    <t xml:space="preserve">K12</t>
  </si>
  <si>
    <t xml:space="preserve">Exces de carbonate sur la stoechiometrie</t>
  </si>
  <si>
    <t xml:space="preserve">x</t>
  </si>
  <si>
    <t xml:space="preserve">V6. Lit de calcaire : 20 a 50% d exces usuel. 1,25 retenu</t>
  </si>
  <si>
    <t xml:space="preserve">K12a</t>
  </si>
  <si>
    <t xml:space="preserve">Carbonate stoechiometrique par tonne de HCl</t>
  </si>
  <si>
    <t xml:space="preserve">T/T</t>
  </si>
  <si>
    <t xml:space="preserve">CaCO3 + 2 HCl donne CaCl2 + H2O + CO2 : 100 g pour 73 g</t>
  </si>
  <si>
    <t xml:space="preserve">L — CAPACITE ET CADENCE (V7)</t>
  </si>
  <si>
    <t xml:space="preserve">L1</t>
  </si>
  <si>
    <t xml:space="preserve">Mode de capacite (1 = volume fixe, 2 = cadence ajustee a la masse chargee)</t>
  </si>
  <si>
    <t xml:space="preserve">V7. Mode 1 = V6. Mode 2 : une charge plus legere se transforme plus vite, donc plus de lots par jour</t>
  </si>
  <si>
    <t xml:space="preserve">L2</t>
  </si>
  <si>
    <t xml:space="preserve">Godets par lot</t>
  </si>
  <si>
    <t xml:space="preserve">godets</t>
  </si>
  <si>
    <t xml:space="preserve">Plan d affaires 3.4 (UR2000-JP p.4 et p.7) : trois godets avancent ensemble dans les sept zones</t>
  </si>
  <si>
    <t xml:space="preserve">L3</t>
  </si>
  <si>
    <t xml:space="preserve">Temps d etape nominal</t>
  </si>
  <si>
    <t xml:space="preserve">min</t>
  </si>
  <si>
    <t xml:space="preserve">Plan d affaires 3.4 : un lot toutes les 90 minutes, soit 16 lots et 48 godets par jour</t>
  </si>
  <si>
    <t xml:space="preserve">L4</t>
  </si>
  <si>
    <t xml:space="preserve">Volume par godet</t>
  </si>
  <si>
    <t xml:space="preserve">m3</t>
  </si>
  <si>
    <t xml:space="preserve">Calcule : 200 m3 / 48 godets = 4,17 m3</t>
  </si>
  <si>
    <t xml:space="preserve">L5</t>
  </si>
  <si>
    <t xml:space="preserve">Charge de reference par godet (calage du temps nominal)</t>
  </si>
  <si>
    <t xml:space="preserve">T</t>
  </si>
  <si>
    <t xml:space="preserve">Donnee orale constructeur : 90 min calees sur ~4,17 T par godet. A CONFIRMER : 4,17 T ou 4,17 m3 ?</t>
  </si>
  <si>
    <t xml:space="preserve">L6</t>
  </si>
  <si>
    <t xml:space="preserve">Part du temps d etape independante de la charge</t>
  </si>
  <si>
    <t xml:space="preserve">INCONNU. Transferts, montee en temperature des parois, refroidissement. A demander a OneWorld</t>
  </si>
  <si>
    <t xml:space="preserve">L7</t>
  </si>
  <si>
    <t xml:space="preserve">Temps d etape minimum</t>
  </si>
  <si>
    <t xml:space="preserve">INCONNU. Limite mecanique ou thermique. A demander a OneWorld</t>
  </si>
  <si>
    <t xml:space="preserve">L8</t>
  </si>
  <si>
    <t xml:space="preserve">Charge par godet</t>
  </si>
  <si>
    <t xml:space="preserve">Calcule : volume x masse volumique</t>
  </si>
  <si>
    <t xml:space="preserve">L9</t>
  </si>
  <si>
    <t xml:space="preserve">Temps d etape effectif</t>
  </si>
  <si>
    <t xml:space="preserve">L10</t>
  </si>
  <si>
    <t xml:space="preserve">Lots par jour</t>
  </si>
  <si>
    <t xml:space="preserve">lots/j</t>
  </si>
  <si>
    <t xml:space="preserve">L11</t>
  </si>
  <si>
    <t xml:space="preserve">DEBIT MASSIQUE PAR UNITE</t>
  </si>
  <si>
    <t xml:space="preserve">T/j</t>
  </si>
  <si>
    <t xml:space="preserve">Remplace 200 x masse volumique dans 2-Production T1.1</t>
  </si>
  <si>
    <t xml:space="preserve">BILAN MATIERE ET ENERGIE</t>
  </si>
  <si>
    <t xml:space="preserve">Colonne C : une unite. Colonne D : toutes unites. Base journaliere sauf indication.</t>
  </si>
  <si>
    <t xml:space="preserve">Grandeur</t>
  </si>
  <si>
    <t xml:space="preserve">Par unite</t>
  </si>
  <si>
    <t xml:space="preserve">Total</t>
  </si>
  <si>
    <t xml:space="preserve">Commentaire</t>
  </si>
  <si>
    <t xml:space="preserve">T1 — ENTREE</t>
  </si>
  <si>
    <t xml:space="preserve">T1.1</t>
  </si>
  <si>
    <t xml:space="preserve">Debit massique nominal</t>
  </si>
  <si>
    <t xml:space="preserve">V7. Voir onglet 1-Inputs, bloc L. Mode 1 : 200 m3/j x masse volumique</t>
  </si>
  <si>
    <t xml:space="preserve">T1.2</t>
  </si>
  <si>
    <t xml:space="preserve">Tonnage annuel</t>
  </si>
  <si>
    <t xml:space="preserve">T/an</t>
  </si>
  <si>
    <t xml:space="preserve">T1.3</t>
  </si>
  <si>
    <t xml:space="preserve">Entree brute</t>
  </si>
  <si>
    <t xml:space="preserve">kg/j</t>
  </si>
  <si>
    <t xml:space="preserve">T1.4</t>
  </si>
  <si>
    <t xml:space="preserve">Refus a l'entree</t>
  </si>
  <si>
    <t xml:space="preserve">T1.5</t>
  </si>
  <si>
    <t xml:space="preserve">Entree nette traitee</t>
  </si>
  <si>
    <t xml:space="preserve">T2 — COMPOSITION</t>
  </si>
  <si>
    <t xml:space="preserve">T2.1</t>
  </si>
  <si>
    <t xml:space="preserve">V6. Net des recyclables extraits au pre-tri si l option K11 est active</t>
  </si>
  <si>
    <t xml:space="preserve">T2.2</t>
  </si>
  <si>
    <t xml:space="preserve">T2.3</t>
  </si>
  <si>
    <t xml:space="preserve">T2.4</t>
  </si>
  <si>
    <t xml:space="preserve">T2.5</t>
  </si>
  <si>
    <t xml:space="preserve">Inertes</t>
  </si>
  <si>
    <t xml:space="preserve">T2.6</t>
  </si>
  <si>
    <t xml:space="preserve">Autres, non classes</t>
  </si>
  <si>
    <t xml:space="preserve">T3 — SORTIES DU REACTEUR</t>
  </si>
  <si>
    <t xml:space="preserve">T3.1</t>
  </si>
  <si>
    <t xml:space="preserve">Huile</t>
  </si>
  <si>
    <t xml:space="preserve">T3.2</t>
  </si>
  <si>
    <t xml:space="preserve">L/j</t>
  </si>
  <si>
    <t xml:space="preserve">T3.3</t>
  </si>
  <si>
    <t xml:space="preserve">Gaz de procede issu du plastique</t>
  </si>
  <si>
    <t xml:space="preserve">T3.4</t>
  </si>
  <si>
    <t xml:space="preserve">Residu solide du plastique</t>
  </si>
  <si>
    <t xml:space="preserve">T3.5</t>
  </si>
  <si>
    <t xml:space="preserve">Char organique</t>
  </si>
  <si>
    <t xml:space="preserve">T3.5b</t>
  </si>
  <si>
    <t xml:space="preserve">Chlore du PVC capte dans l'eau (HCl)</t>
  </si>
  <si>
    <t xml:space="preserve">V5. Complement a 100% des rendements plastique : 2% de PVC x 53% de chlore. Part dans l'eau, neutralise, finit dans le concentrat</t>
  </si>
  <si>
    <t xml:space="preserve">T3.6</t>
  </si>
  <si>
    <t xml:space="preserve">Gaz de procede issu de l'organique</t>
  </si>
  <si>
    <t xml:space="preserve">Par difference. Plus le rendement char est eleve, moins il reste de gaz</t>
  </si>
  <si>
    <t xml:space="preserve">T4 — BILAN ENERGIE (BLOC CORRIGE)</t>
  </si>
  <si>
    <t xml:space="preserve">T4.1</t>
  </si>
  <si>
    <t xml:space="preserve">Energie du gaz issu du plastique</t>
  </si>
  <si>
    <t xml:space="preserve">MJ/j</t>
  </si>
  <si>
    <t xml:space="preserve">PCI corrige a 37,3 MJ/kg</t>
  </si>
  <si>
    <t xml:space="preserve">T4.2</t>
  </si>
  <si>
    <t xml:space="preserve">Energie du gaz issu de l'organique</t>
  </si>
  <si>
    <t xml:space="preserve">PCI corrige a 11,0 MJ/kg</t>
  </si>
  <si>
    <t xml:space="preserve">T4.3</t>
  </si>
  <si>
    <t xml:space="preserve">Energie totale du gaz de procede</t>
  </si>
  <si>
    <t xml:space="preserve">T4.4</t>
  </si>
  <si>
    <t xml:space="preserve">Chaleur utile delivree par le bruleur</t>
  </si>
  <si>
    <t xml:space="preserve">Rendement bruleur 85%</t>
  </si>
  <si>
    <t xml:space="preserve">T4.5</t>
  </si>
  <si>
    <t xml:space="preserve">Recoupement : bruleur de 833 kcal/s soit 301 190 MJ/j</t>
  </si>
  <si>
    <t xml:space="preserve">T4.6</t>
  </si>
  <si>
    <t xml:space="preserve">Taux de couverture par le gaz</t>
  </si>
  <si>
    <t xml:space="preserve">Superieur a 100% : autonomie energetique</t>
  </si>
  <si>
    <t xml:space="preserve">T4.7</t>
  </si>
  <si>
    <t xml:space="preserve">Deficit thermique eventuel</t>
  </si>
  <si>
    <t xml:space="preserve">T4.8</t>
  </si>
  <si>
    <t xml:space="preserve">Fioul de secours</t>
  </si>
  <si>
    <t xml:space="preserve">Deficit eventuel plus la provision de securite de 5%</t>
  </si>
  <si>
    <t xml:space="preserve">T4.9</t>
  </si>
  <si>
    <t xml:space="preserve">Excedent de gaz non utilise</t>
  </si>
  <si>
    <t xml:space="preserve">Valorisable en vapeur ou en electricite. Non valorise dans ce modele</t>
  </si>
  <si>
    <t xml:space="preserve">T4.10</t>
  </si>
  <si>
    <t xml:space="preserve">Teneur en plastique a l'equilibre energetique</t>
  </si>
  <si>
    <t xml:space="preserve">Non calcule dans ce fichier</t>
  </si>
  <si>
    <t xml:space="preserve">T5 — SORTIES COMMERCIALISABLES</t>
  </si>
  <si>
    <t xml:space="preserve">T5.1</t>
  </si>
  <si>
    <t xml:space="preserve">Huile vendue</t>
  </si>
  <si>
    <t xml:space="preserve">Production du reacteur plus l'huile issue du recyclage de la phase organique decantee (lignes T5.8c a T5.8e)</t>
  </si>
  <si>
    <t xml:space="preserve">T5.2</t>
  </si>
  <si>
    <t xml:space="preserve">Char commercialisable</t>
  </si>
  <si>
    <t xml:space="preserve">Char organique plus residu plastique, apres criblage a 85%</t>
  </si>
  <si>
    <t xml:space="preserve">T5.3</t>
  </si>
  <si>
    <t xml:space="preserve">Ferreux recuperes</t>
  </si>
  <si>
    <t xml:space="preserve">V5. Pre-tri, puis recuperation dans le char de ce qui a echappe au pre-tri (reprise du V3)</t>
  </si>
  <si>
    <t xml:space="preserve">T5.4</t>
  </si>
  <si>
    <t xml:space="preserve">Aluminium recupere</t>
  </si>
  <si>
    <t xml:space="preserve">V5. Idem</t>
  </si>
  <si>
    <t xml:space="preserve">T5.5</t>
  </si>
  <si>
    <t xml:space="preserve">Autres metaux</t>
  </si>
  <si>
    <t xml:space="preserve">T5.5b</t>
  </si>
  <si>
    <t xml:space="preserve">Metaux non recuperes</t>
  </si>
  <si>
    <t xml:space="preserve">V5. Vont en elimination. Etaient ignores dans le V4</t>
  </si>
  <si>
    <t xml:space="preserve">T5.6</t>
  </si>
  <si>
    <t xml:space="preserve">Verre recupere</t>
  </si>
  <si>
    <t xml:space="preserve">T5.8</t>
  </si>
  <si>
    <t xml:space="preserve">Eau de procede a traiter</t>
  </si>
  <si>
    <t xml:space="preserve">Humidite de la charge. Recoit aussi l'acide chlorhydrique dilue issu du PVC (mecanisme decrit page 3 du document UR2000-JP)</t>
  </si>
  <si>
    <t xml:space="preserve">T5.8b</t>
  </si>
  <si>
    <t xml:space="preserve">Carbonate de calcium consomme</t>
  </si>
  <si>
    <t xml:space="preserve">V6. Lie au HCl : 100/73 x exces de 25%. Etait 2,5 kg/T fixe, sous le minimum chimique</t>
  </si>
  <si>
    <t xml:space="preserve">T5.8c</t>
  </si>
  <si>
    <t xml:space="preserve">Phase organique decantee</t>
  </si>
  <si>
    <t xml:space="preserve">Etape 2 : decantation. La neutralisation prealable augmente la force ionique, donc accentue le relargage salin et ameliore la separation</t>
  </si>
  <si>
    <t xml:space="preserve">T5.8d</t>
  </si>
  <si>
    <t xml:space="preserve">Phase organique recyclee en benne</t>
  </si>
  <si>
    <t xml:space="preserve">Reintroduite avec la charge, absorbee par le papier et le carton. JAMAIS dans le circuit vapeur : une chaudiere recevant des goudrons se coke</t>
  </si>
  <si>
    <t xml:space="preserve">T5.8e</t>
  </si>
  <si>
    <t xml:space="preserve">Huile supplementaire issue du recyclage</t>
  </si>
  <si>
    <t xml:space="preserve">Recraquee a 600 degres C. Deja incluse dans la ligne T5.1</t>
  </si>
  <si>
    <t xml:space="preserve">T5.9</t>
  </si>
  <si>
    <t xml:space="preserve">Eau douce recuperee</t>
  </si>
  <si>
    <t xml:space="preserve">Reutilisable en boucle fermee sur site. Apres neutralisation au carbonate, il ne reste en volatil que du CO2 dissous, qui abaisse le pH a 5 ou 6 sans consequence. RESERVE RESIDUELLE : les composes organiques volatils de la pyrolyse de la cellulose (phenols, acides organiques, ammoniaque) ne sont pas retenus par le carbonate et suivent l'eau. D'ou la ligne de charbon actif</t>
  </si>
  <si>
    <t xml:space="preserve">T5.10</t>
  </si>
  <si>
    <t xml:space="preserve">Concentrat halogene a eliminer</t>
  </si>
  <si>
    <t xml:space="preserve">Saumure concentree. V6 : inclut le calcium apporte par la neutralisation (CaCl2 au lieu de HCl)</t>
  </si>
  <si>
    <t xml:space="preserve">T5.7</t>
  </si>
  <si>
    <t xml:space="preserve">Residus a eliminer</t>
  </si>
  <si>
    <t xml:space="preserve">Refus, fines de criblage, verre non trie, inertes, fraction non classee (V5), metaux non recuperes (V5), phase organique decantee non recyclee V6 : plus le carbonate en exces, non reagi, soutire avec les boues</t>
  </si>
  <si>
    <t xml:space="preserve">T5b — CONTROLES DU BILAN MATIERE (V5)</t>
  </si>
  <si>
    <t xml:space="preserve">Controle de composition : somme des fractions moins 100%</t>
  </si>
  <si>
    <t xml:space="preserve">DOIT VALOIR 0</t>
  </si>
  <si>
    <t xml:space="preserve">Entrees : dechet brut plus carbonate de calcium</t>
  </si>
  <si>
    <t xml:space="preserve">Sorties : produits, gaz brule, eau, concentrat, residus, recyclables, CO2 de neutralisation</t>
  </si>
  <si>
    <t xml:space="preserve">ECART DU BILAN MATIERE</t>
  </si>
  <si>
    <t xml:space="preserve">DOIT VALOIR 0. Le V4 perdait 1 565 T/an : fraction non classee, metaux non recuperes, chlore du PVC</t>
  </si>
  <si>
    <t xml:space="preserve">T6 — BILAN CARBONE DE L'INSTALLATION</t>
  </si>
  <si>
    <t xml:space="preserve">CARBONE FOSSILE ENTRANT</t>
  </si>
  <si>
    <t xml:space="preserve">Le carbone fossile du site vient du plastique, et de lui seul</t>
  </si>
  <si>
    <t xml:space="preserve">Carbone fossile entrant, exprime en CO2</t>
  </si>
  <si>
    <t xml:space="preserve">T CO2/an</t>
  </si>
  <si>
    <t xml:space="preserve">Masse de plastique x 85,7% de carbone x 44/12. C'est le total qui devra se retrouver dans les lignes ci-dessous</t>
  </si>
  <si>
    <t xml:space="preserve">Carbone biogenique entrant, pour memoire</t>
  </si>
  <si>
    <t xml:space="preserve">Issu de matiere vegetale recente. Neutre par convention internationale. N'entre dans aucun calcul</t>
  </si>
  <si>
    <t xml:space="preserve">EMISSIONS DIRECTES DU SITE (perimetre 1)</t>
  </si>
  <si>
    <t xml:space="preserve">Ce dont l'exploitant est responsable devant la reglementation</t>
  </si>
  <si>
    <t xml:space="preserve">CO2 fossile — combustion du gaz de procede</t>
  </si>
  <si>
    <t xml:space="preserve">Brule au bruleur pour chauffer le reacteur</t>
  </si>
  <si>
    <t xml:space="preserve">CO2 fossile — fioul de secours</t>
  </si>
  <si>
    <t xml:space="preserve">TOTAL EMISSIONS DIRECTES DU SITE</t>
  </si>
  <si>
    <t xml:space="preserve">Seule assiette possible d'une taxe ou d'un quota au titre du site</t>
  </si>
  <si>
    <t xml:space="preserve">C6</t>
  </si>
  <si>
    <t xml:space="preserve">Intensite carbone directe</t>
  </si>
  <si>
    <t xml:space="preserve">Grandeur a suivre : c'est elle qui determinera l'exposition a un quota si le site entre dans le champ du SEQE</t>
  </si>
  <si>
    <t xml:space="preserve">CARBONE SORTANT DANS LES PRODUITS (perimetre 3 aval)</t>
  </si>
  <si>
    <t xml:space="preserve">Emis par l'acheteur, pas par le site. Compte uniquement dans une analyse de cycle de vie</t>
  </si>
  <si>
    <t xml:space="preserve">C7</t>
  </si>
  <si>
    <t xml:space="preserve">Carbone fossile sortant dans l'huile vendue</t>
  </si>
  <si>
    <t xml:space="preserve">C8</t>
  </si>
  <si>
    <t xml:space="preserve">Carbone fossile sortant dans le char vendu</t>
  </si>
  <si>
    <t xml:space="preserve">Part plastique du char uniquement. La part organique est biogenique</t>
  </si>
  <si>
    <t xml:space="preserve">C9</t>
  </si>
  <si>
    <t xml:space="preserve">Carbone fossile stocke dans le char elimine</t>
  </si>
  <si>
    <t xml:space="preserve">Fines de criblage envoyees en elimination. Carbone non relache</t>
  </si>
  <si>
    <t xml:space="preserve">C10</t>
  </si>
  <si>
    <t xml:space="preserve">Controle : carbone fossile retrouve en sortie</t>
  </si>
  <si>
    <t xml:space="preserve">A comparer a la ligne C1</t>
  </si>
  <si>
    <t xml:space="preserve">C10b</t>
  </si>
  <si>
    <t xml:space="preserve">Ecart de bouclage</t>
  </si>
  <si>
    <t xml:space="preserve">Doit rester sous quelques pourcents. Un ecart plus large signale une incoherence entre la teneur en carbone des plastiques et le facteur CO2 de l'huile</t>
  </si>
  <si>
    <t xml:space="preserve">ENERGIE EXPORTEE</t>
  </si>
  <si>
    <t xml:space="preserve">Base d'une future certification RED III ou ISCC</t>
  </si>
  <si>
    <t xml:space="preserve">C11</t>
  </si>
  <si>
    <t xml:space="preserve">Energie exportee sous forme d'huile</t>
  </si>
  <si>
    <t xml:space="preserve">GJ/an</t>
  </si>
  <si>
    <t xml:space="preserve">C12</t>
  </si>
  <si>
    <t xml:space="preserve">Energie exportee sous forme de char</t>
  </si>
  <si>
    <t xml:space="preserve">C13</t>
  </si>
  <si>
    <t xml:space="preserve">Energie exportee totale</t>
  </si>
  <si>
    <t xml:space="preserve">C14</t>
  </si>
  <si>
    <t xml:space="preserve">Energie exportee par tonne traitee</t>
  </si>
  <si>
    <t xml:space="preserve">RECETTE CARBONE</t>
  </si>
  <si>
    <t xml:space="preserve">C15</t>
  </si>
  <si>
    <t xml:space="preserve">Reduction carbone retenue</t>
  </si>
  <si>
    <t xml:space="preserve">Egale a zero tant qu'aucune certification n'est obtenue. Saisie en cellule G2 de l'onglet 1-Inputs</t>
  </si>
  <si>
    <t xml:space="preserve">T7 — FLUX AJOUTES EN V6</t>
  </si>
  <si>
    <t xml:space="preserve">T7.1</t>
  </si>
  <si>
    <t xml:space="preserve">Recyclables plastiques vendus (PET, PEHD)</t>
  </si>
  <si>
    <t xml:space="preserve">Zero par defaut</t>
  </si>
  <si>
    <t xml:space="preserve">T7.2</t>
  </si>
  <si>
    <t xml:space="preserve">Carton vendu</t>
  </si>
  <si>
    <t xml:space="preserve">T7.3</t>
  </si>
  <si>
    <t xml:space="preserve">CO2 libere par la neutralisation</t>
  </si>
  <si>
    <t xml:space="preserve">CO2 mineral, pas fossile au sens du plastique. Environ 87 T/an</t>
  </si>
  <si>
    <t xml:space="preserve">T7.4</t>
  </si>
  <si>
    <t xml:space="preserve">Carbonate ayant reagi</t>
  </si>
  <si>
    <t xml:space="preserve">Minimum stoechiometrique</t>
  </si>
  <si>
    <t xml:space="preserve">INVESTISSEMENT</t>
  </si>
  <si>
    <t xml:space="preserve">Montant (EUR)</t>
  </si>
  <si>
    <t xml:space="preserve">% total</t>
  </si>
  <si>
    <t xml:space="preserve">EQUIPEMENT</t>
  </si>
  <si>
    <t xml:space="preserve">1</t>
  </si>
  <si>
    <t xml:space="preserve">2</t>
  </si>
  <si>
    <t xml:space="preserve">3</t>
  </si>
  <si>
    <t xml:space="preserve">4</t>
  </si>
  <si>
    <t xml:space="preserve">5</t>
  </si>
  <si>
    <t xml:space="preserve">6</t>
  </si>
  <si>
    <t xml:space="preserve">Ligne de pre-tri</t>
  </si>
  <si>
    <t xml:space="preserve">x N x interrupteur pre-tri (K2)</t>
  </si>
  <si>
    <t xml:space="preserve">7</t>
  </si>
  <si>
    <t xml:space="preserve">Ligne de post-tri</t>
  </si>
  <si>
    <t xml:space="preserve">x N x interrupteur post-tri (K3)</t>
  </si>
  <si>
    <t xml:space="preserve">8</t>
  </si>
  <si>
    <t xml:space="preserve">ATEX et depoussierage</t>
  </si>
  <si>
    <t xml:space="preserve">x N. Un systeme par reacteur</t>
  </si>
  <si>
    <t xml:space="preserve">8b</t>
  </si>
  <si>
    <t xml:space="preserve">Cuve de neutralisation et de decantation</t>
  </si>
  <si>
    <t xml:space="preserve">Equipement de procede, donc soumis a maintenance. Lit de pellets de calcaire puis decantation. Ordre de grandeur, a chiffrer sur devis</t>
  </si>
  <si>
    <t xml:space="preserve">Sous-total equipement</t>
  </si>
  <si>
    <t xml:space="preserve">GENIE CIVIL ET ETUDES</t>
  </si>
  <si>
    <t xml:space="preserve">9a</t>
  </si>
  <si>
    <t xml:space="preserve">Usine de traitement — surface</t>
  </si>
  <si>
    <t xml:space="preserve">Plans UR2000-JP : 3 000 m2 a N=1, 14 230 m2 a N=5</t>
  </si>
  <si>
    <t xml:space="preserve">9b</t>
  </si>
  <si>
    <t xml:space="preserve">Usine de traitement</t>
  </si>
  <si>
    <t xml:space="preserve">900 EUR/m2</t>
  </si>
  <si>
    <t xml:space="preserve">9c</t>
  </si>
  <si>
    <t xml:space="preserve">Stockage dechets — surface</t>
  </si>
  <si>
    <t xml:space="preserve">640 m2 a N=1, 3 450 m2 a N=5</t>
  </si>
  <si>
    <t xml:space="preserve">9d</t>
  </si>
  <si>
    <t xml:space="preserve">Stockage dechets</t>
  </si>
  <si>
    <t xml:space="preserve">500 EUR/m2</t>
  </si>
  <si>
    <t xml:space="preserve">9e</t>
  </si>
  <si>
    <t xml:space="preserve">Stockage produits — surface</t>
  </si>
  <si>
    <t xml:space="preserve">810 m2 a N=1, 3 450 m2 a N=5</t>
  </si>
  <si>
    <t xml:space="preserve">9f</t>
  </si>
  <si>
    <t xml:space="preserve">Stockage produits</t>
  </si>
  <si>
    <t xml:space="preserve">9g</t>
  </si>
  <si>
    <t xml:space="preserve">Bureaux et locaux — surface</t>
  </si>
  <si>
    <t xml:space="preserve">200 m2 a N=1, 640 m2 a N=5</t>
  </si>
  <si>
    <t xml:space="preserve">9h</t>
  </si>
  <si>
    <t xml:space="preserve">Bureaux et locaux</t>
  </si>
  <si>
    <t xml:space="preserve">1 300 EUR/m2</t>
  </si>
  <si>
    <t xml:space="preserve">9i</t>
  </si>
  <si>
    <t xml:space="preserve">Surface batie totale</t>
  </si>
  <si>
    <t xml:space="preserve">Recoupement plans : 4 650 m2 a N=1, 21 770 m2 a N=5</t>
  </si>
  <si>
    <t xml:space="preserve">10</t>
  </si>
  <si>
    <t xml:space="preserve">AJOUTE. N'etait pas distingue du batiment dans le V3</t>
  </si>
  <si>
    <t xml:space="preserve">10b</t>
  </si>
  <si>
    <t xml:space="preserve">Sous-total genie civil</t>
  </si>
  <si>
    <t xml:space="preserve">A comparer aux 5,0 MEUR forfaitaires du V3</t>
  </si>
  <si>
    <t xml:space="preserve">11</t>
  </si>
  <si>
    <t xml:space="preserve">12</t>
  </si>
  <si>
    <t xml:space="preserve">5% de l'equipement et du genie civil</t>
  </si>
  <si>
    <t xml:space="preserve">TOTAL CAPEX</t>
  </si>
  <si>
    <t xml:space="preserve">Emprise fonciere indicative</t>
  </si>
  <si>
    <t xml:space="preserve">Ratio emprise sur surface batie tire des plans : 28 900 / 21 770 a N=5, 5 265 / 4 650 a N=1</t>
  </si>
  <si>
    <t xml:space="preserve">CAPEX par tonne annuelle</t>
  </si>
  <si>
    <t xml:space="preserve">Dette</t>
  </si>
  <si>
    <t xml:space="preserve">Fonds propres</t>
  </si>
  <si>
    <t xml:space="preserve">Amortissement annuel</t>
  </si>
  <si>
    <t xml:space="preserve">COMPTE DE RESULTAT ET TRESORERIE — 15 ANS</t>
  </si>
  <si>
    <t xml:space="preserve">Toutes les lignes suivent le nombre d'unites saisi a l'onglet 1-Inputs.</t>
  </si>
  <si>
    <t xml:space="preserve">Annee 1</t>
  </si>
  <si>
    <t xml:space="preserve">Annee 2</t>
  </si>
  <si>
    <t xml:space="preserve">Annee 3</t>
  </si>
  <si>
    <t xml:space="preserve">Annee 4</t>
  </si>
  <si>
    <t xml:space="preserve">Annee 5</t>
  </si>
  <si>
    <t xml:space="preserve">Annee 6</t>
  </si>
  <si>
    <t xml:space="preserve">Annee 7</t>
  </si>
  <si>
    <t xml:space="preserve">Annee 8</t>
  </si>
  <si>
    <t xml:space="preserve">Annee 9</t>
  </si>
  <si>
    <t xml:space="preserve">Annee 10</t>
  </si>
  <si>
    <t xml:space="preserve">Annee 11</t>
  </si>
  <si>
    <t xml:space="preserve">Annee 12</t>
  </si>
  <si>
    <t xml:space="preserve">Annee 13</t>
  </si>
  <si>
    <t xml:space="preserve">Annee 14</t>
  </si>
  <si>
    <t xml:space="preserve">Annee 15</t>
  </si>
  <si>
    <t xml:space="preserve">Taux de charge</t>
  </si>
  <si>
    <t xml:space="preserve">Tonnage traite (T)</t>
  </si>
  <si>
    <t xml:space="preserve">RECETTES</t>
  </si>
  <si>
    <t xml:space="preserve">Gate fees</t>
  </si>
  <si>
    <t xml:space="preserve">Char</t>
  </si>
  <si>
    <t xml:space="preserve">Verre et recyclables du pre-tri</t>
  </si>
  <si>
    <t xml:space="preserve">TOTAL RECETTES</t>
  </si>
  <si>
    <t xml:space="preserve">CHARGES</t>
  </si>
  <si>
    <t xml:space="preserve">Personnel</t>
  </si>
  <si>
    <t xml:space="preserve">Taux de maintenance applique</t>
  </si>
  <si>
    <t xml:space="preserve">Elimination des residus</t>
  </si>
  <si>
    <t xml:space="preserve">Couche catalytique halogenes</t>
  </si>
  <si>
    <t xml:space="preserve">Ceramique SEA CORAL</t>
  </si>
  <si>
    <t xml:space="preserve">Carbonate de calcium (neutralisation)</t>
  </si>
  <si>
    <t xml:space="preserve">Charbon actif (affinage eau)</t>
  </si>
  <si>
    <t xml:space="preserve">Elimination du concentrat halogene</t>
  </si>
  <si>
    <t xml:space="preserve">TOTAL CHARGES</t>
  </si>
  <si>
    <t xml:space="preserve">RESULTAT</t>
  </si>
  <si>
    <t xml:space="preserve">EBITDA</t>
  </si>
  <si>
    <t xml:space="preserve">Marge EBITDA</t>
  </si>
  <si>
    <t xml:space="preserve">EBITDA par tonne</t>
  </si>
  <si>
    <t xml:space="preserve">Amortissement</t>
  </si>
  <si>
    <t xml:space="preserve">EBIT</t>
  </si>
  <si>
    <t xml:space="preserve">Interets</t>
  </si>
  <si>
    <t xml:space="preserve">Resultat avant impot</t>
  </si>
  <si>
    <t xml:space="preserve">Impot</t>
  </si>
  <si>
    <t xml:space="preserve">Resultat net</t>
  </si>
  <si>
    <t xml:space="preserve">TRESORERIE</t>
  </si>
  <si>
    <t xml:space="preserve">Flux d'exploitation apres impot et interets</t>
  </si>
  <si>
    <t xml:space="preserve">Remboursement du capital</t>
  </si>
  <si>
    <t xml:space="preserve">Variation du BFR</t>
  </si>
  <si>
    <t xml:space="preserve">Flux libre</t>
  </si>
  <si>
    <t xml:space="preserve">Flux cumule</t>
  </si>
  <si>
    <t xml:space="preserve">Flux du projet (avant financement)</t>
  </si>
  <si>
    <t xml:space="preserve">Serie projet, annee 0 a 15</t>
  </si>
  <si>
    <t xml:space="preserve">Serie fonds propres, annee 0 a 15</t>
  </si>
  <si>
    <t xml:space="preserve">VAN du projet au CMPC</t>
  </si>
  <si>
    <t xml:space="preserve">TRI du projet</t>
  </si>
  <si>
    <t xml:space="preserve">TRI des fonds propres</t>
  </si>
  <si>
    <t xml:space="preserve">Fonds propres investis</t>
  </si>
  <si>
    <t xml:space="preserve">Retour brut CAPEX / EBITDA annee 3 (annees)</t>
  </si>
  <si>
    <t xml:space="preserve">Gate fee d'equilibre annee 3 (EUR/T)</t>
  </si>
  <si>
    <t xml:space="preserve">CORRIGE le 19/09/2026 : la formule precedente comptait les gate fees deux fois. Lecture : (charges + amortissement - recettes produits hors gate fees) / tonnage.</t>
  </si>
  <si>
    <t xml:space="preserve">COMPTES DES LIGNES DE TRI — ANNEE 3, REGIME NOMINAL</t>
  </si>
  <si>
    <t xml:space="preserve">Chaque ligne se paie-t-elle ? Recettes directes et elimination evitee, moins personnel, maintenance au regime etabli et amortissement. Toutes unites.</t>
  </si>
  <si>
    <t xml:space="preserve">LIGNE DE PRE-TRI</t>
  </si>
  <si>
    <t xml:space="preserve">P1</t>
  </si>
  <si>
    <t xml:space="preserve">Tonnage extrait (ferreux, alu, verre, recyclables)</t>
  </si>
  <si>
    <t xml:space="preserve">P2</t>
  </si>
  <si>
    <t xml:space="preserve">Vente ferreux et aluminium</t>
  </si>
  <si>
    <t xml:space="preserve">P3</t>
  </si>
  <si>
    <t xml:space="preserve">Vente verre et recyclables</t>
  </si>
  <si>
    <t xml:space="preserve">P4</t>
  </si>
  <si>
    <t xml:space="preserve">Elimination evitee</t>
  </si>
  <si>
    <t xml:space="preserve">Sans tri, ces tonnes finiraient en residus a 110 EUR/T</t>
  </si>
  <si>
    <t xml:space="preserve">P5</t>
  </si>
  <si>
    <t xml:space="preserve">Personnel pre-tri</t>
  </si>
  <si>
    <t xml:space="preserve">P6</t>
  </si>
  <si>
    <t xml:space="preserve">Maintenance (regime etabli)</t>
  </si>
  <si>
    <t xml:space="preserve">4% : prudent, l annee 3 est encore sous garantie</t>
  </si>
  <si>
    <t xml:space="preserve">P7</t>
  </si>
  <si>
    <t xml:space="preserve">P8</t>
  </si>
  <si>
    <t xml:space="preserve">RESULTAT DE LA LIGNE DE PRE-TRI</t>
  </si>
  <si>
    <t xml:space="preserve">Positif : la ligne se paie</t>
  </si>
  <si>
    <t xml:space="preserve">LIGNE DE POST-TRI</t>
  </si>
  <si>
    <t xml:space="preserve">Q1</t>
  </si>
  <si>
    <t xml:space="preserve">Metaux extraits du char</t>
  </si>
  <si>
    <t xml:space="preserve">Q2</t>
  </si>
  <si>
    <t xml:space="preserve">Vente des metaux du char</t>
  </si>
  <si>
    <t xml:space="preserve">Q3</t>
  </si>
  <si>
    <t xml:space="preserve">Q4</t>
  </si>
  <si>
    <t xml:space="preserve">Personnel post-tri</t>
  </si>
  <si>
    <t xml:space="preserve">Q5</t>
  </si>
  <si>
    <t xml:space="preserve">Q6</t>
  </si>
  <si>
    <t xml:space="preserve">Q7</t>
  </si>
  <si>
    <t xml:space="preserve">RESULTAT DE LA LIGNE DE POST-TRI</t>
  </si>
  <si>
    <t xml:space="preserve">Non compte : le criblage conditionne la qualite du char, donc son prix. Voir le selecteur K1</t>
  </si>
</sst>
</file>

<file path=xl/styles.xml><?xml version="1.0" encoding="utf-8"?>
<styleSheet xmlns="http://schemas.openxmlformats.org/spreadsheetml/2006/main">
  <numFmts count="13">
    <numFmt numFmtId="164" formatCode="General"/>
    <numFmt numFmtId="165" formatCode="#,##0;\(#,##0\);\-"/>
    <numFmt numFmtId="166" formatCode="#,##0.000"/>
    <numFmt numFmtId="167" formatCode="0.0%"/>
    <numFmt numFmtId="168" formatCode="#,##0.0"/>
    <numFmt numFmtId="169" formatCode="0.00"/>
    <numFmt numFmtId="170" formatCode="0.0"/>
    <numFmt numFmtId="171" formatCode="0"/>
    <numFmt numFmtId="172" formatCode="0%"/>
    <numFmt numFmtId="173" formatCode="0.000"/>
    <numFmt numFmtId="174" formatCode="0.0000"/>
    <numFmt numFmtId="175" formatCode="#,##0.00"/>
    <numFmt numFmtId="176" formatCode="#,##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b val="true"/>
      <sz val="11"/>
      <color rgb="FFFFFFFF"/>
      <name val="Arial"/>
      <family val="0"/>
      <charset val="1"/>
    </font>
    <font>
      <sz val="10"/>
      <name val="Arial"/>
      <family val="0"/>
      <charset val="1"/>
    </font>
    <font>
      <i val="true"/>
      <sz val="9"/>
      <color rgb="FF595959"/>
      <name val="Noto Sans CJK SC"/>
      <family val="2"/>
    </font>
    <font>
      <sz val="10"/>
      <color rgb="FF0000FF"/>
      <name val="Arial"/>
      <family val="0"/>
      <charset val="1"/>
    </font>
    <font>
      <sz val="11"/>
      <color rgb="FF000000"/>
      <name val="Arial"/>
      <family val="0"/>
      <charset val="1"/>
    </font>
    <font>
      <sz val="11"/>
      <color rgb="FF0000FF"/>
      <name val="Arial"/>
      <family val="0"/>
      <charset val="1"/>
    </font>
    <font>
      <sz val="11"/>
      <name val="Arial"/>
      <family val="0"/>
      <charset val="1"/>
    </font>
    <font>
      <b val="true"/>
      <sz val="11"/>
      <name val="Arial"/>
      <family val="0"/>
      <charset val="1"/>
    </font>
  </fonts>
  <fills count="7">
    <fill>
      <patternFill patternType="none"/>
    </fill>
    <fill>
      <patternFill patternType="gray125"/>
    </fill>
    <fill>
      <patternFill patternType="solid">
        <fgColor rgb="FFD9E2F3"/>
        <bgColor rgb="FFE2EFDA"/>
      </patternFill>
    </fill>
    <fill>
      <patternFill patternType="solid">
        <fgColor rgb="FF1F3864"/>
        <bgColor rgb="FF333333"/>
      </patternFill>
    </fill>
    <fill>
      <patternFill patternType="solid">
        <fgColor rgb="FFFCE4D6"/>
        <bgColor rgb="FFE2EFDA"/>
      </patternFill>
    </fill>
    <fill>
      <patternFill patternType="solid">
        <fgColor rgb="FFE2EFDA"/>
        <bgColor rgb="FFD9E2F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general" vertical="bottom" textRotation="0" wrapText="false" indent="0" shrinkToFit="false"/>
      <protection locked="true" hidden="false"/>
    </xf>
    <xf numFmtId="165"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general" vertical="bottom" textRotation="0" wrapText="false" indent="0" shrinkToFit="false"/>
      <protection locked="true" hidden="false"/>
    </xf>
    <xf numFmtId="168" fontId="10" fillId="4" borderId="1" xfId="0" applyFont="true" applyBorder="true" applyAlignment="true" applyProtection="false">
      <alignment horizontal="general" vertical="bottom" textRotation="0" wrapText="false" indent="0" shrinkToFit="false"/>
      <protection locked="true" hidden="false"/>
    </xf>
    <xf numFmtId="167" fontId="10" fillId="4" borderId="1" xfId="0" applyFont="true" applyBorder="true" applyAlignment="tru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general" vertical="bottom" textRotation="0" wrapText="false" indent="0" shrinkToFit="false"/>
      <protection locked="true" hidden="false"/>
    </xf>
    <xf numFmtId="165" fontId="10" fillId="5" borderId="1" xfId="0" applyFont="true" applyBorder="true" applyAlignment="true" applyProtection="false">
      <alignment horizontal="general" vertical="bottom" textRotation="0" wrapText="false" indent="0" shrinkToFit="false"/>
      <protection locked="true" hidden="false"/>
    </xf>
    <xf numFmtId="165" fontId="11" fillId="6" borderId="1" xfId="0" applyFont="true" applyBorder="true" applyAlignment="true" applyProtection="false">
      <alignment horizontal="general" vertical="bottom" textRotation="0" wrapText="false" indent="0" shrinkToFit="false"/>
      <protection locked="true" hidden="false"/>
    </xf>
    <xf numFmtId="169" fontId="10" fillId="4"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general" vertical="bottom" textRotation="0" wrapText="false" indent="0" shrinkToFit="false"/>
      <protection locked="true" hidden="false"/>
    </xf>
    <xf numFmtId="166" fontId="10" fillId="6" borderId="1" xfId="0" applyFont="true" applyBorder="true" applyAlignment="true" applyProtection="false">
      <alignment horizontal="general" vertical="bottom" textRotation="0" wrapText="false" indent="0" shrinkToFit="false"/>
      <protection locked="true" hidden="false"/>
    </xf>
    <xf numFmtId="165" fontId="11" fillId="4" borderId="1" xfId="0" applyFont="true" applyBorder="true" applyAlignment="true" applyProtection="false">
      <alignment horizontal="general" vertical="bottom" textRotation="0" wrapText="false" indent="0" shrinkToFit="false"/>
      <protection locked="true" hidden="false"/>
    </xf>
    <xf numFmtId="170" fontId="11" fillId="4" borderId="1" xfId="0" applyFont="true" applyBorder="true" applyAlignment="true" applyProtection="false">
      <alignment horizontal="general" vertical="bottom" textRotation="0" wrapText="false" indent="0" shrinkToFit="false"/>
      <protection locked="true" hidden="false"/>
    </xf>
    <xf numFmtId="170" fontId="10" fillId="4" borderId="1" xfId="0" applyFont="true" applyBorder="true" applyAlignment="true" applyProtection="false">
      <alignment horizontal="general" vertical="bottom" textRotation="0" wrapText="false" indent="0" shrinkToFit="false"/>
      <protection locked="true" hidden="false"/>
    </xf>
    <xf numFmtId="165" fontId="12" fillId="6" borderId="1" xfId="0" applyFont="true" applyBorder="true" applyAlignment="true" applyProtection="false">
      <alignment horizontal="general" vertical="bottom" textRotation="0" wrapText="false" indent="0" shrinkToFit="false"/>
      <protection locked="true" hidden="false"/>
    </xf>
    <xf numFmtId="171" fontId="11" fillId="5" borderId="1" xfId="0" applyFont="true" applyBorder="true" applyAlignment="true" applyProtection="false">
      <alignment horizontal="general" vertical="bottom" textRotation="0" wrapText="false" indent="0" shrinkToFit="false"/>
      <protection locked="true" hidden="false"/>
    </xf>
    <xf numFmtId="172" fontId="10" fillId="5" borderId="1" xfId="0" applyFont="true" applyBorder="true" applyAlignment="true" applyProtection="false">
      <alignment horizontal="general" vertical="bottom" textRotation="0" wrapText="false" indent="0" shrinkToFit="false"/>
      <protection locked="true" hidden="false"/>
    </xf>
    <xf numFmtId="172" fontId="12" fillId="6" borderId="1" xfId="0" applyFont="true" applyBorder="true" applyAlignment="true" applyProtection="false">
      <alignment horizontal="general" vertical="bottom" textRotation="0" wrapText="false" indent="0" shrinkToFit="false"/>
      <protection locked="true" hidden="false"/>
    </xf>
    <xf numFmtId="169" fontId="12" fillId="6" borderId="1" xfId="0" applyFont="true" applyBorder="true" applyAlignment="true" applyProtection="false">
      <alignment horizontal="general" vertical="bottom" textRotation="0" wrapText="false" indent="0" shrinkToFit="false"/>
      <protection locked="true" hidden="false"/>
    </xf>
    <xf numFmtId="173" fontId="10" fillId="5" borderId="1" xfId="0" applyFont="true" applyBorder="true" applyAlignment="true" applyProtection="false">
      <alignment horizontal="general" vertical="bottom" textRotation="0" wrapText="false" indent="0" shrinkToFit="false"/>
      <protection locked="true" hidden="false"/>
    </xf>
    <xf numFmtId="169" fontId="11" fillId="5" borderId="1" xfId="0" applyFont="true" applyBorder="true" applyAlignment="true" applyProtection="false">
      <alignment horizontal="general" vertical="bottom" textRotation="0" wrapText="false" indent="0" shrinkToFit="false"/>
      <protection locked="true" hidden="false"/>
    </xf>
    <xf numFmtId="170" fontId="11" fillId="5"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67" fontId="8" fillId="6"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74" fontId="8" fillId="6" borderId="1" xfId="0" applyFont="true" applyBorder="true" applyAlignment="true" applyProtection="false">
      <alignment horizontal="general" vertical="bottom" textRotation="0" wrapText="false" indent="0" shrinkToFit="false"/>
      <protection locked="true" hidden="false"/>
    </xf>
    <xf numFmtId="175" fontId="8" fillId="6" borderId="1" xfId="0" applyFont="true" applyBorder="true" applyAlignment="true" applyProtection="false">
      <alignment horizontal="general" vertical="bottom" textRotation="0" wrapText="false" indent="0" shrinkToFit="false"/>
      <protection locked="true" hidden="false"/>
    </xf>
    <xf numFmtId="175" fontId="8" fillId="0" borderId="1" xfId="0" applyFont="true" applyBorder="true" applyAlignment="tru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general" vertical="bottom" textRotation="0" wrapText="false" indent="0" shrinkToFit="false"/>
      <protection locked="true" hidden="false"/>
    </xf>
    <xf numFmtId="165" fontId="8" fillId="6" borderId="1" xfId="0" applyFont="true" applyBorder="true" applyAlignment="true" applyProtection="false">
      <alignment horizontal="general" vertical="bottom" textRotation="0" wrapText="false" indent="0" shrinkToFit="false"/>
      <protection locked="true" hidden="false"/>
    </xf>
    <xf numFmtId="166" fontId="8" fillId="6" borderId="1" xfId="0" applyFont="true" applyBorder="true" applyAlignment="tru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general" vertical="bottom" textRotation="0" wrapText="false" indent="0" shrinkToFit="false"/>
      <protection locked="true" hidden="false"/>
    </xf>
    <xf numFmtId="167" fontId="0" fillId="0" borderId="1" xfId="0" applyFont="false" applyBorder="true" applyAlignment="tru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general" vertical="bottom" textRotation="0" wrapText="false" indent="0" shrinkToFit="false"/>
      <protection locked="true" hidden="false"/>
    </xf>
    <xf numFmtId="165" fontId="6" fillId="6" borderId="1"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5" borderId="0" xfId="0" applyFont="true" applyBorder="false" applyAlignment="true" applyProtection="false">
      <alignment horizontal="general" vertical="bottom" textRotation="0" wrapText="false" indent="0" shrinkToFit="false"/>
      <protection locked="true" hidden="false"/>
    </xf>
    <xf numFmtId="167" fontId="8" fillId="4" borderId="0" xfId="0" applyFont="true" applyBorder="false" applyAlignment="tru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6" fillId="6"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7" fontId="6" fillId="6" borderId="0" xfId="0" applyFont="true" applyBorder="false" applyAlignment="true" applyProtection="false">
      <alignment horizontal="general" vertical="bottom" textRotation="0" wrapText="false" indent="0" shrinkToFit="false"/>
      <protection locked="true" hidden="false"/>
    </xf>
    <xf numFmtId="168" fontId="6" fillId="6"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76" fontId="13" fillId="0" borderId="0" xfId="0" applyFont="true" applyBorder="fals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4" min="3" style="1" width="20"/>
    <col collapsed="false" customWidth="true" hidden="false" outlineLevel="0" max="5" min="5" style="1" width="12"/>
    <col collapsed="false" customWidth="true" hidden="false" outlineLevel="0" max="6" min="6" style="1" width="70"/>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4" t="s">
        <v>3</v>
      </c>
      <c r="C4" s="4" t="s">
        <v>4</v>
      </c>
      <c r="D4" s="4" t="s">
        <v>5</v>
      </c>
      <c r="E4" s="4" t="s">
        <v>6</v>
      </c>
      <c r="F4" s="4" t="s">
        <v>7</v>
      </c>
    </row>
    <row r="5" customFormat="false" ht="15" hidden="false" customHeight="true" outlineLevel="0" collapsed="false">
      <c r="A5" s="5" t="s">
        <v>8</v>
      </c>
      <c r="B5" s="5"/>
      <c r="C5" s="5"/>
      <c r="D5" s="5"/>
      <c r="E5" s="5"/>
      <c r="F5" s="5"/>
    </row>
    <row r="6" customFormat="false" ht="42.75" hidden="false" customHeight="true" outlineLevel="0" collapsed="false">
      <c r="B6" s="6" t="s">
        <v>9</v>
      </c>
      <c r="C6" s="6" t="s">
        <v>10</v>
      </c>
      <c r="D6" s="6" t="s">
        <v>11</v>
      </c>
      <c r="E6" s="7" t="s">
        <v>12</v>
      </c>
      <c r="F6" s="8" t="s">
        <v>13</v>
      </c>
    </row>
    <row r="7" customFormat="false" ht="42.75" hidden="false" customHeight="true" outlineLevel="0" collapsed="false">
      <c r="B7" s="6" t="s">
        <v>14</v>
      </c>
      <c r="C7" s="6" t="s">
        <v>15</v>
      </c>
      <c r="D7" s="6" t="s">
        <v>16</v>
      </c>
      <c r="E7" s="7" t="s">
        <v>12</v>
      </c>
      <c r="F7" s="8" t="s">
        <v>17</v>
      </c>
    </row>
    <row r="8" customFormat="false" ht="21.75" hidden="false" customHeight="true" outlineLevel="0" collapsed="false">
      <c r="B8" s="6" t="s">
        <v>18</v>
      </c>
      <c r="C8" s="6" t="s">
        <v>19</v>
      </c>
      <c r="D8" s="6" t="s">
        <v>20</v>
      </c>
      <c r="E8" s="9" t="s">
        <v>21</v>
      </c>
      <c r="F8" s="8" t="s">
        <v>22</v>
      </c>
    </row>
    <row r="9" customFormat="false" ht="15" hidden="false" customHeight="true" outlineLevel="0" collapsed="false">
      <c r="B9" s="6" t="s">
        <v>23</v>
      </c>
      <c r="C9" s="6" t="s">
        <v>24</v>
      </c>
      <c r="D9" s="6" t="s">
        <v>25</v>
      </c>
      <c r="E9" s="9" t="s">
        <v>21</v>
      </c>
      <c r="F9" s="8" t="s">
        <v>26</v>
      </c>
    </row>
    <row r="10" customFormat="false" ht="15" hidden="false" customHeight="true" outlineLevel="0" collapsed="false">
      <c r="B10" s="6" t="s">
        <v>27</v>
      </c>
      <c r="C10" s="6" t="s">
        <v>28</v>
      </c>
      <c r="D10" s="6" t="s">
        <v>29</v>
      </c>
      <c r="E10" s="9" t="s">
        <v>21</v>
      </c>
      <c r="F10" s="8" t="s">
        <v>30</v>
      </c>
    </row>
    <row r="11" customFormat="false" ht="21.75" hidden="false" customHeight="true" outlineLevel="0" collapsed="false">
      <c r="B11" s="6" t="s">
        <v>31</v>
      </c>
      <c r="C11" s="6" t="s">
        <v>32</v>
      </c>
      <c r="D11" s="6" t="s">
        <v>33</v>
      </c>
      <c r="E11" s="9" t="s">
        <v>21</v>
      </c>
      <c r="F11" s="8" t="s">
        <v>34</v>
      </c>
    </row>
    <row r="12" customFormat="false" ht="15" hidden="false" customHeight="true" outlineLevel="0" collapsed="false">
      <c r="B12" s="6" t="s">
        <v>35</v>
      </c>
      <c r="C12" s="6" t="s">
        <v>36</v>
      </c>
      <c r="D12" s="6" t="s">
        <v>37</v>
      </c>
      <c r="E12" s="7" t="s">
        <v>12</v>
      </c>
      <c r="F12" s="8" t="s">
        <v>38</v>
      </c>
    </row>
    <row r="13" customFormat="false" ht="21.75" hidden="false" customHeight="true" outlineLevel="0" collapsed="false">
      <c r="B13" s="6" t="s">
        <v>39</v>
      </c>
      <c r="C13" s="6" t="s">
        <v>40</v>
      </c>
      <c r="D13" s="6" t="s">
        <v>41</v>
      </c>
      <c r="E13" s="9" t="s">
        <v>42</v>
      </c>
      <c r="F13" s="8" t="s">
        <v>43</v>
      </c>
    </row>
    <row r="14" customFormat="false" ht="21.75" hidden="false" customHeight="true" outlineLevel="0" collapsed="false">
      <c r="B14" s="6" t="s">
        <v>44</v>
      </c>
      <c r="C14" s="6" t="s">
        <v>45</v>
      </c>
      <c r="D14" s="6" t="s">
        <v>46</v>
      </c>
      <c r="E14" s="9" t="s">
        <v>21</v>
      </c>
      <c r="F14" s="8" t="s">
        <v>47</v>
      </c>
    </row>
    <row r="15" customFormat="false" ht="15" hidden="false" customHeight="true" outlineLevel="0" collapsed="false">
      <c r="A15" s="5" t="s">
        <v>48</v>
      </c>
      <c r="B15" s="5"/>
      <c r="C15" s="5"/>
      <c r="D15" s="5"/>
      <c r="E15" s="5"/>
      <c r="F15" s="5"/>
    </row>
    <row r="16" customFormat="false" ht="32.25" hidden="false" customHeight="true" outlineLevel="0" collapsed="false">
      <c r="B16" s="6" t="s">
        <v>49</v>
      </c>
      <c r="C16" s="6" t="s">
        <v>50</v>
      </c>
      <c r="D16" s="6" t="s">
        <v>51</v>
      </c>
      <c r="E16" s="7" t="s">
        <v>12</v>
      </c>
      <c r="F16" s="8" t="s">
        <v>52</v>
      </c>
    </row>
    <row r="17" customFormat="false" ht="15" hidden="false" customHeight="true" outlineLevel="0" collapsed="false">
      <c r="B17" s="6" t="s">
        <v>53</v>
      </c>
      <c r="C17" s="6" t="s">
        <v>54</v>
      </c>
      <c r="D17" s="6" t="s">
        <v>55</v>
      </c>
      <c r="E17" s="7" t="s">
        <v>12</v>
      </c>
      <c r="F17" s="8" t="s">
        <v>56</v>
      </c>
    </row>
    <row r="18" customFormat="false" ht="15" hidden="false" customHeight="true" outlineLevel="0" collapsed="false">
      <c r="B18" s="6" t="s">
        <v>57</v>
      </c>
      <c r="C18" s="6" t="s">
        <v>58</v>
      </c>
      <c r="D18" s="6" t="s">
        <v>59</v>
      </c>
      <c r="E18" s="7" t="s">
        <v>12</v>
      </c>
      <c r="F18" s="8"/>
    </row>
    <row r="19" customFormat="false" ht="21.75" hidden="false" customHeight="true" outlineLevel="0" collapsed="false">
      <c r="B19" s="6" t="s">
        <v>60</v>
      </c>
      <c r="C19" s="6" t="s">
        <v>61</v>
      </c>
      <c r="D19" s="6" t="s">
        <v>62</v>
      </c>
      <c r="E19" s="7" t="s">
        <v>12</v>
      </c>
      <c r="F19" s="8" t="s">
        <v>63</v>
      </c>
    </row>
    <row r="20" customFormat="false" ht="15" hidden="false" customHeight="true" outlineLevel="0" collapsed="false">
      <c r="B20" s="6" t="s">
        <v>64</v>
      </c>
      <c r="C20" s="6" t="s">
        <v>65</v>
      </c>
      <c r="D20" s="6" t="s">
        <v>66</v>
      </c>
      <c r="E20" s="7" t="s">
        <v>12</v>
      </c>
      <c r="F20" s="8" t="s">
        <v>67</v>
      </c>
    </row>
    <row r="21" customFormat="false" ht="15" hidden="false" customHeight="true" outlineLevel="0" collapsed="false">
      <c r="A21" s="5" t="s">
        <v>68</v>
      </c>
      <c r="B21" s="5"/>
      <c r="C21" s="5"/>
      <c r="D21" s="5"/>
      <c r="E21" s="5"/>
      <c r="F21" s="5"/>
    </row>
    <row r="22" customFormat="false" ht="53.25" hidden="false" customHeight="true" outlineLevel="0" collapsed="false">
      <c r="B22" s="6" t="s">
        <v>69</v>
      </c>
      <c r="C22" s="6" t="s">
        <v>70</v>
      </c>
      <c r="D22" s="6" t="s">
        <v>71</v>
      </c>
      <c r="E22" s="7" t="s">
        <v>12</v>
      </c>
      <c r="F22" s="8" t="s">
        <v>72</v>
      </c>
    </row>
    <row r="23" customFormat="false" ht="32.25" hidden="false" customHeight="true" outlineLevel="0" collapsed="false">
      <c r="B23" s="6" t="s">
        <v>73</v>
      </c>
      <c r="C23" s="6" t="s">
        <v>74</v>
      </c>
      <c r="D23" s="6" t="s">
        <v>75</v>
      </c>
      <c r="E23" s="7" t="s">
        <v>12</v>
      </c>
      <c r="F23" s="8" t="s">
        <v>76</v>
      </c>
    </row>
    <row r="24" customFormat="false" ht="32.25" hidden="false" customHeight="true" outlineLevel="0" collapsed="false">
      <c r="B24" s="6" t="s">
        <v>77</v>
      </c>
      <c r="C24" s="6" t="s">
        <v>78</v>
      </c>
      <c r="D24" s="6" t="s">
        <v>79</v>
      </c>
      <c r="E24" s="7" t="s">
        <v>12</v>
      </c>
      <c r="F24" s="8" t="s">
        <v>80</v>
      </c>
    </row>
    <row r="25" customFormat="false" ht="15" hidden="false" customHeight="true" outlineLevel="0" collapsed="false">
      <c r="B25" s="6" t="s">
        <v>81</v>
      </c>
      <c r="C25" s="6" t="s">
        <v>82</v>
      </c>
      <c r="D25" s="6" t="s">
        <v>83</v>
      </c>
      <c r="E25" s="7" t="s">
        <v>84</v>
      </c>
      <c r="F25" s="8" t="s">
        <v>85</v>
      </c>
    </row>
    <row r="26" customFormat="false" ht="21.75" hidden="false" customHeight="true" outlineLevel="0" collapsed="false">
      <c r="B26" s="6" t="s">
        <v>86</v>
      </c>
      <c r="C26" s="6" t="s">
        <v>87</v>
      </c>
      <c r="D26" s="6" t="s">
        <v>87</v>
      </c>
      <c r="E26" s="9" t="s">
        <v>88</v>
      </c>
      <c r="F26" s="8" t="s">
        <v>89</v>
      </c>
    </row>
    <row r="27" customFormat="false" ht="15" hidden="false" customHeight="true" outlineLevel="0" collapsed="false">
      <c r="B27" s="6" t="s">
        <v>90</v>
      </c>
      <c r="C27" s="6" t="s">
        <v>91</v>
      </c>
      <c r="D27" s="6" t="s">
        <v>92</v>
      </c>
      <c r="E27" s="7" t="s">
        <v>84</v>
      </c>
      <c r="F27" s="8" t="s">
        <v>93</v>
      </c>
    </row>
    <row r="28" customFormat="false" ht="15" hidden="false" customHeight="true" outlineLevel="0" collapsed="false">
      <c r="A28" s="5" t="s">
        <v>94</v>
      </c>
      <c r="B28" s="5"/>
      <c r="C28" s="5"/>
      <c r="D28" s="5"/>
      <c r="E28" s="5"/>
      <c r="F28" s="5"/>
    </row>
    <row r="29" customFormat="false" ht="32.25" hidden="false" customHeight="true" outlineLevel="0" collapsed="false">
      <c r="B29" s="6" t="s">
        <v>95</v>
      </c>
      <c r="C29" s="6" t="s">
        <v>96</v>
      </c>
      <c r="D29" s="6" t="s">
        <v>97</v>
      </c>
      <c r="E29" s="7" t="s">
        <v>12</v>
      </c>
      <c r="F29" s="8" t="s">
        <v>98</v>
      </c>
    </row>
    <row r="30" customFormat="false" ht="21.75" hidden="false" customHeight="true" outlineLevel="0" collapsed="false">
      <c r="B30" s="6" t="s">
        <v>99</v>
      </c>
      <c r="C30" s="6" t="s">
        <v>82</v>
      </c>
      <c r="D30" s="6" t="s">
        <v>100</v>
      </c>
      <c r="E30" s="7" t="s">
        <v>84</v>
      </c>
      <c r="F30" s="8" t="s">
        <v>101</v>
      </c>
    </row>
    <row r="31" customFormat="false" ht="15" hidden="false" customHeight="true" outlineLevel="0" collapsed="false">
      <c r="B31" s="6" t="s">
        <v>102</v>
      </c>
      <c r="C31" s="6" t="s">
        <v>103</v>
      </c>
      <c r="D31" s="6" t="s">
        <v>104</v>
      </c>
      <c r="E31" s="7" t="s">
        <v>12</v>
      </c>
      <c r="F31" s="8" t="s">
        <v>105</v>
      </c>
    </row>
    <row r="32" customFormat="false" ht="15" hidden="false" customHeight="true" outlineLevel="0" collapsed="false">
      <c r="A32" s="5" t="s">
        <v>106</v>
      </c>
      <c r="B32" s="5"/>
      <c r="C32" s="5"/>
      <c r="D32" s="5"/>
      <c r="E32" s="5"/>
      <c r="F32" s="5"/>
    </row>
    <row r="33" customFormat="false" ht="42.75" hidden="false" customHeight="true" outlineLevel="0" collapsed="false">
      <c r="B33" s="6" t="s">
        <v>107</v>
      </c>
      <c r="C33" s="6" t="s">
        <v>108</v>
      </c>
      <c r="D33" s="6" t="s">
        <v>109</v>
      </c>
      <c r="E33" s="7" t="s">
        <v>12</v>
      </c>
      <c r="F33" s="8" t="s">
        <v>110</v>
      </c>
    </row>
    <row r="34" customFormat="false" ht="15" hidden="false" customHeight="true" outlineLevel="0" collapsed="false">
      <c r="B34" s="6" t="s">
        <v>111</v>
      </c>
      <c r="C34" s="6" t="s">
        <v>112</v>
      </c>
      <c r="D34" s="6" t="s">
        <v>112</v>
      </c>
      <c r="E34" s="9" t="s">
        <v>88</v>
      </c>
      <c r="F34" s="8"/>
    </row>
    <row r="35" customFormat="false" ht="21.75" hidden="false" customHeight="true" outlineLevel="0" collapsed="false">
      <c r="B35" s="6" t="s">
        <v>113</v>
      </c>
      <c r="C35" s="6" t="s">
        <v>114</v>
      </c>
      <c r="D35" s="6" t="s">
        <v>115</v>
      </c>
      <c r="E35" s="7" t="s">
        <v>12</v>
      </c>
      <c r="F35" s="8" t="s">
        <v>116</v>
      </c>
    </row>
    <row r="36" customFormat="false" ht="15" hidden="false" customHeight="true" outlineLevel="0" collapsed="false">
      <c r="B36" s="6" t="s">
        <v>117</v>
      </c>
      <c r="C36" s="6" t="s">
        <v>118</v>
      </c>
      <c r="D36" s="6" t="s">
        <v>118</v>
      </c>
      <c r="E36" s="9" t="s">
        <v>88</v>
      </c>
      <c r="F36" s="8"/>
    </row>
    <row r="37" customFormat="false" ht="15" hidden="false" customHeight="true" outlineLevel="0" collapsed="false">
      <c r="B37" s="6" t="s">
        <v>119</v>
      </c>
      <c r="C37" s="6" t="s">
        <v>120</v>
      </c>
      <c r="D37" s="6" t="s">
        <v>120</v>
      </c>
      <c r="E37" s="9" t="s">
        <v>88</v>
      </c>
      <c r="F37" s="8"/>
    </row>
    <row r="38" customFormat="false" ht="21.75" hidden="false" customHeight="true" outlineLevel="0" collapsed="false">
      <c r="B38" s="6" t="s">
        <v>121</v>
      </c>
      <c r="C38" s="6" t="s">
        <v>122</v>
      </c>
      <c r="D38" s="6" t="s">
        <v>122</v>
      </c>
      <c r="E38" s="9" t="s">
        <v>88</v>
      </c>
      <c r="F38" s="8" t="s">
        <v>123</v>
      </c>
    </row>
    <row r="39" customFormat="false" ht="63.75" hidden="false" customHeight="true" outlineLevel="0" collapsed="false">
      <c r="B39" s="6" t="s">
        <v>95</v>
      </c>
      <c r="C39" s="6" t="s">
        <v>124</v>
      </c>
      <c r="D39" s="6" t="s">
        <v>125</v>
      </c>
      <c r="E39" s="7" t="s">
        <v>12</v>
      </c>
      <c r="F39" s="8" t="s">
        <v>126</v>
      </c>
    </row>
    <row r="40" customFormat="false" ht="15" hidden="false" customHeight="true" outlineLevel="0" collapsed="false">
      <c r="B40" s="6" t="s">
        <v>127</v>
      </c>
      <c r="C40" s="6" t="s">
        <v>128</v>
      </c>
      <c r="D40" s="6" t="s">
        <v>129</v>
      </c>
      <c r="E40" s="7" t="s">
        <v>84</v>
      </c>
      <c r="F40" s="8" t="s">
        <v>130</v>
      </c>
    </row>
    <row r="41" customFormat="false" ht="42.75" hidden="false" customHeight="true" outlineLevel="0" collapsed="false">
      <c r="B41" s="6" t="s">
        <v>121</v>
      </c>
      <c r="C41" s="6" t="s">
        <v>131</v>
      </c>
      <c r="D41" s="6" t="s">
        <v>132</v>
      </c>
      <c r="E41" s="7" t="s">
        <v>12</v>
      </c>
      <c r="F41" s="8" t="s">
        <v>133</v>
      </c>
    </row>
    <row r="42" customFormat="false" ht="66" hidden="false" customHeight="true" outlineLevel="0" collapsed="false">
      <c r="B42" s="6" t="s">
        <v>134</v>
      </c>
      <c r="C42" s="6" t="s">
        <v>82</v>
      </c>
      <c r="D42" s="6" t="s">
        <v>135</v>
      </c>
      <c r="E42" s="7" t="s">
        <v>84</v>
      </c>
      <c r="F42" s="8" t="s">
        <v>136</v>
      </c>
    </row>
    <row r="43" customFormat="false" ht="63.75" hidden="false" customHeight="true" outlineLevel="0" collapsed="false">
      <c r="B43" s="6" t="s">
        <v>137</v>
      </c>
      <c r="C43" s="6" t="s">
        <v>24</v>
      </c>
      <c r="D43" s="6" t="s">
        <v>138</v>
      </c>
      <c r="E43" s="7" t="s">
        <v>84</v>
      </c>
      <c r="F43" s="8" t="s">
        <v>139</v>
      </c>
    </row>
    <row r="44" customFormat="false" ht="74.25" hidden="false" customHeight="true" outlineLevel="0" collapsed="false">
      <c r="B44" s="6" t="s">
        <v>140</v>
      </c>
      <c r="C44" s="6" t="s">
        <v>82</v>
      </c>
      <c r="D44" s="6" t="s">
        <v>141</v>
      </c>
      <c r="E44" s="7" t="s">
        <v>84</v>
      </c>
      <c r="F44" s="8" t="s">
        <v>142</v>
      </c>
    </row>
    <row r="45" customFormat="false" ht="45" hidden="false" customHeight="true" outlineLevel="0" collapsed="false">
      <c r="B45" s="6" t="s">
        <v>143</v>
      </c>
      <c r="C45" s="6" t="s">
        <v>144</v>
      </c>
      <c r="D45" s="6" t="s">
        <v>145</v>
      </c>
      <c r="E45" s="9" t="s">
        <v>146</v>
      </c>
      <c r="F45" s="8" t="s">
        <v>147</v>
      </c>
    </row>
    <row r="46" customFormat="false" ht="74.25" hidden="false" customHeight="true" outlineLevel="0" collapsed="false">
      <c r="B46" s="6" t="s">
        <v>148</v>
      </c>
      <c r="C46" s="6" t="s">
        <v>149</v>
      </c>
      <c r="D46" s="6" t="s">
        <v>150</v>
      </c>
      <c r="E46" s="7" t="s">
        <v>12</v>
      </c>
      <c r="F46" s="8" t="s">
        <v>151</v>
      </c>
    </row>
    <row r="47" customFormat="false" ht="63.75" hidden="false" customHeight="true" outlineLevel="0" collapsed="false">
      <c r="B47" s="6" t="s">
        <v>152</v>
      </c>
      <c r="C47" s="6" t="s">
        <v>82</v>
      </c>
      <c r="D47" s="6" t="s">
        <v>153</v>
      </c>
      <c r="E47" s="7" t="s">
        <v>84</v>
      </c>
      <c r="F47" s="8" t="s">
        <v>154</v>
      </c>
    </row>
    <row r="48" customFormat="false" ht="53.25" hidden="false" customHeight="true" outlineLevel="0" collapsed="false">
      <c r="B48" s="6" t="s">
        <v>155</v>
      </c>
      <c r="C48" s="6" t="s">
        <v>24</v>
      </c>
      <c r="D48" s="6" t="s">
        <v>156</v>
      </c>
      <c r="E48" s="7" t="s">
        <v>84</v>
      </c>
      <c r="F48" s="8" t="s">
        <v>157</v>
      </c>
    </row>
    <row r="49" customFormat="false" ht="15" hidden="false" customHeight="true" outlineLevel="0" collapsed="false">
      <c r="A49" s="5" t="s">
        <v>158</v>
      </c>
      <c r="B49" s="5"/>
      <c r="C49" s="5"/>
      <c r="D49" s="5"/>
      <c r="E49" s="5"/>
      <c r="F49" s="5"/>
    </row>
    <row r="50" customFormat="false" ht="21.75" hidden="false" customHeight="true" outlineLevel="0" collapsed="false">
      <c r="B50" s="6" t="s">
        <v>159</v>
      </c>
      <c r="C50" s="6" t="s">
        <v>160</v>
      </c>
      <c r="D50" s="6" t="s">
        <v>160</v>
      </c>
      <c r="E50" s="9" t="s">
        <v>88</v>
      </c>
      <c r="F50" s="8" t="s">
        <v>161</v>
      </c>
    </row>
    <row r="51" customFormat="false" ht="42.75" hidden="false" customHeight="true" outlineLevel="0" collapsed="false">
      <c r="B51" s="6" t="s">
        <v>31</v>
      </c>
      <c r="C51" s="6" t="s">
        <v>162</v>
      </c>
      <c r="D51" s="6" t="s">
        <v>163</v>
      </c>
      <c r="E51" s="10" t="s">
        <v>164</v>
      </c>
      <c r="F51" s="8" t="s">
        <v>165</v>
      </c>
    </row>
    <row r="52" customFormat="false" ht="42.75" hidden="false" customHeight="true" outlineLevel="0" collapsed="false">
      <c r="B52" s="6" t="s">
        <v>166</v>
      </c>
      <c r="C52" s="6" t="s">
        <v>167</v>
      </c>
      <c r="D52" s="6" t="s">
        <v>167</v>
      </c>
      <c r="E52" s="10" t="s">
        <v>164</v>
      </c>
      <c r="F52" s="8" t="s">
        <v>168</v>
      </c>
    </row>
    <row r="53" customFormat="false" ht="21.75" hidden="false" customHeight="true" outlineLevel="0" collapsed="false">
      <c r="B53" s="6" t="s">
        <v>169</v>
      </c>
      <c r="C53" s="6" t="s">
        <v>170</v>
      </c>
      <c r="D53" s="6" t="s">
        <v>170</v>
      </c>
      <c r="E53" s="10" t="s">
        <v>164</v>
      </c>
      <c r="F53" s="8" t="s">
        <v>171</v>
      </c>
    </row>
    <row r="54" customFormat="false" ht="42.75" hidden="false" customHeight="true" outlineLevel="0" collapsed="false">
      <c r="B54" s="6" t="s">
        <v>172</v>
      </c>
      <c r="C54" s="6" t="s">
        <v>173</v>
      </c>
      <c r="D54" s="6" t="s">
        <v>174</v>
      </c>
      <c r="E54" s="7" t="s">
        <v>12</v>
      </c>
      <c r="F54" s="8" t="s">
        <v>175</v>
      </c>
    </row>
    <row r="55" customFormat="false" ht="53.25" hidden="false" customHeight="true" outlineLevel="0" collapsed="false">
      <c r="B55" s="6" t="s">
        <v>176</v>
      </c>
      <c r="C55" s="6" t="s">
        <v>177</v>
      </c>
      <c r="D55" s="6" t="s">
        <v>178</v>
      </c>
      <c r="E55" s="7" t="s">
        <v>12</v>
      </c>
      <c r="F55" s="8" t="s">
        <v>179</v>
      </c>
    </row>
    <row r="56" customFormat="false" ht="21.75" hidden="false" customHeight="true" outlineLevel="0" collapsed="false">
      <c r="B56" s="6" t="s">
        <v>180</v>
      </c>
      <c r="C56" s="6" t="s">
        <v>181</v>
      </c>
      <c r="D56" s="6" t="s">
        <v>182</v>
      </c>
      <c r="E56" s="10" t="s">
        <v>164</v>
      </c>
      <c r="F56" s="8" t="s">
        <v>183</v>
      </c>
    </row>
    <row r="57" customFormat="false" ht="15" hidden="false" customHeight="true" outlineLevel="0" collapsed="false">
      <c r="B57" s="6" t="s">
        <v>184</v>
      </c>
      <c r="C57" s="6" t="s">
        <v>185</v>
      </c>
      <c r="D57" s="6" t="s">
        <v>185</v>
      </c>
      <c r="E57" s="9" t="s">
        <v>88</v>
      </c>
      <c r="F57" s="8"/>
    </row>
    <row r="59" customFormat="false" ht="15" hidden="false" customHeight="true" outlineLevel="0" collapsed="false">
      <c r="A59" s="5" t="s">
        <v>186</v>
      </c>
      <c r="B59" s="5"/>
      <c r="C59" s="5"/>
      <c r="D59" s="5"/>
      <c r="E59" s="5"/>
      <c r="F59" s="5"/>
    </row>
    <row r="60" customFormat="false" ht="32.25" hidden="false" customHeight="true" outlineLevel="0" collapsed="false">
      <c r="A60" s="1" t="s">
        <v>187</v>
      </c>
      <c r="B60" s="6" t="s">
        <v>188</v>
      </c>
      <c r="C60" s="6" t="s">
        <v>189</v>
      </c>
      <c r="D60" s="6" t="s">
        <v>190</v>
      </c>
      <c r="E60" s="7" t="s">
        <v>12</v>
      </c>
      <c r="F60" s="8" t="s">
        <v>191</v>
      </c>
    </row>
    <row r="61" customFormat="false" ht="15" hidden="false" customHeight="true" outlineLevel="0" collapsed="false">
      <c r="A61" s="1" t="s">
        <v>192</v>
      </c>
      <c r="B61" s="6" t="s">
        <v>193</v>
      </c>
      <c r="C61" s="6" t="s">
        <v>194</v>
      </c>
      <c r="D61" s="6" t="s">
        <v>195</v>
      </c>
      <c r="E61" s="7" t="s">
        <v>21</v>
      </c>
      <c r="F61" s="8" t="s">
        <v>196</v>
      </c>
    </row>
    <row r="62" customFormat="false" ht="21.75" hidden="false" customHeight="true" outlineLevel="0" collapsed="false">
      <c r="A62" s="1" t="s">
        <v>197</v>
      </c>
      <c r="B62" s="6" t="s">
        <v>198</v>
      </c>
      <c r="C62" s="6" t="s">
        <v>28</v>
      </c>
      <c r="D62" s="6" t="s">
        <v>199</v>
      </c>
      <c r="E62" s="7" t="s">
        <v>21</v>
      </c>
      <c r="F62" s="8" t="s">
        <v>200</v>
      </c>
    </row>
    <row r="63" customFormat="false" ht="15" hidden="false" customHeight="true" outlineLevel="0" collapsed="false">
      <c r="A63" s="1" t="s">
        <v>201</v>
      </c>
      <c r="B63" s="6" t="s">
        <v>202</v>
      </c>
      <c r="C63" s="6" t="s">
        <v>28</v>
      </c>
      <c r="D63" s="6" t="s">
        <v>203</v>
      </c>
      <c r="E63" s="7" t="s">
        <v>21</v>
      </c>
      <c r="F63" s="8" t="s">
        <v>204</v>
      </c>
    </row>
    <row r="64" customFormat="false" ht="21.75" hidden="false" customHeight="true" outlineLevel="0" collapsed="false">
      <c r="A64" s="1" t="s">
        <v>205</v>
      </c>
      <c r="B64" s="6" t="s">
        <v>206</v>
      </c>
      <c r="C64" s="6" t="s">
        <v>82</v>
      </c>
      <c r="D64" s="6" t="s">
        <v>207</v>
      </c>
      <c r="E64" s="7" t="s">
        <v>21</v>
      </c>
      <c r="F64" s="8" t="s">
        <v>208</v>
      </c>
    </row>
    <row r="65" customFormat="false" ht="21.75" hidden="false" customHeight="true" outlineLevel="0" collapsed="false">
      <c r="A65" s="1" t="s">
        <v>209</v>
      </c>
      <c r="B65" s="6" t="s">
        <v>210</v>
      </c>
      <c r="C65" s="6" t="s">
        <v>211</v>
      </c>
      <c r="D65" s="6" t="s">
        <v>212</v>
      </c>
      <c r="E65" s="7" t="s">
        <v>42</v>
      </c>
      <c r="F65" s="8" t="s">
        <v>213</v>
      </c>
    </row>
    <row r="66" customFormat="false" ht="15" hidden="false" customHeight="true" outlineLevel="0" collapsed="false">
      <c r="A66" s="1" t="s">
        <v>214</v>
      </c>
      <c r="B66" s="6" t="s">
        <v>215</v>
      </c>
      <c r="C66" s="6" t="s">
        <v>216</v>
      </c>
      <c r="D66" s="6" t="s">
        <v>217</v>
      </c>
      <c r="E66" s="7" t="s">
        <v>12</v>
      </c>
      <c r="F66" s="8" t="s">
        <v>218</v>
      </c>
    </row>
    <row r="68" customFormat="false" ht="15" hidden="false" customHeight="false" outlineLevel="0" collapsed="false">
      <c r="A68" s="5" t="s">
        <v>219</v>
      </c>
      <c r="B68" s="5"/>
      <c r="C68" s="5"/>
      <c r="D68" s="5"/>
      <c r="E68" s="5"/>
      <c r="F68" s="5"/>
    </row>
    <row r="69" customFormat="false" ht="32.8" hidden="false" customHeight="false" outlineLevel="0" collapsed="false">
      <c r="A69" s="1" t="s">
        <v>220</v>
      </c>
      <c r="B69" s="6" t="s">
        <v>221</v>
      </c>
      <c r="C69" s="6" t="s">
        <v>222</v>
      </c>
      <c r="D69" s="6" t="s">
        <v>223</v>
      </c>
      <c r="E69" s="7" t="s">
        <v>224</v>
      </c>
      <c r="F69" s="8" t="s">
        <v>225</v>
      </c>
    </row>
    <row r="70" customFormat="false" ht="15" hidden="false" customHeight="false" outlineLevel="0" collapsed="false">
      <c r="A70" s="1" t="s">
        <v>226</v>
      </c>
      <c r="B70" s="6" t="s">
        <v>227</v>
      </c>
      <c r="C70" s="6" t="s">
        <v>228</v>
      </c>
      <c r="D70" s="6" t="s">
        <v>229</v>
      </c>
      <c r="E70" s="7" t="s">
        <v>12</v>
      </c>
      <c r="F70" s="8" t="s">
        <v>230</v>
      </c>
    </row>
    <row r="71" customFormat="false" ht="22.35" hidden="false" customHeight="false" outlineLevel="0" collapsed="false">
      <c r="A71" s="1" t="s">
        <v>231</v>
      </c>
      <c r="B71" s="6" t="s">
        <v>232</v>
      </c>
      <c r="C71" s="6" t="s">
        <v>233</v>
      </c>
      <c r="D71" s="6" t="s">
        <v>234</v>
      </c>
      <c r="E71" s="7" t="s">
        <v>84</v>
      </c>
      <c r="F71" s="8" t="s">
        <v>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0"/>
    <col collapsed="false" customWidth="true" hidden="false" outlineLevel="0" max="3" min="3" style="1" width="15"/>
    <col collapsed="false" customWidth="true" hidden="false" outlineLevel="0" max="4" min="4" style="1" width="13"/>
    <col collapsed="false" customWidth="true" hidden="false" outlineLevel="0" max="5" min="5" style="1" width="86"/>
  </cols>
  <sheetData>
    <row r="1" customFormat="false" ht="17.25" hidden="false" customHeight="true" outlineLevel="0" collapsed="false">
      <c r="A1" s="2" t="s">
        <v>236</v>
      </c>
    </row>
    <row r="2" customFormat="false" ht="15" hidden="false" customHeight="true" outlineLevel="0" collapsed="false">
      <c r="A2" s="3" t="s">
        <v>237</v>
      </c>
    </row>
    <row r="4" customFormat="false" ht="15" hidden="false" customHeight="true" outlineLevel="0" collapsed="false">
      <c r="A4" s="4" t="s">
        <v>238</v>
      </c>
      <c r="B4" s="4" t="s">
        <v>239</v>
      </c>
      <c r="C4" s="4" t="s">
        <v>240</v>
      </c>
      <c r="D4" s="4" t="s">
        <v>241</v>
      </c>
      <c r="E4" s="4" t="s">
        <v>242</v>
      </c>
    </row>
    <row r="5" customFormat="false" ht="15" hidden="false" customHeight="true" outlineLevel="0" collapsed="false">
      <c r="A5" s="5" t="s">
        <v>243</v>
      </c>
      <c r="B5" s="5"/>
      <c r="C5" s="5"/>
      <c r="D5" s="5"/>
      <c r="E5" s="5"/>
    </row>
    <row r="6" customFormat="false" ht="15" hidden="false" customHeight="true" outlineLevel="0" collapsed="false">
      <c r="A6" s="11" t="s">
        <v>244</v>
      </c>
      <c r="B6" s="6" t="s">
        <v>245</v>
      </c>
      <c r="C6" s="12" t="n">
        <v>200</v>
      </c>
      <c r="D6" s="6" t="s">
        <v>246</v>
      </c>
      <c r="E6" s="8" t="s">
        <v>247</v>
      </c>
    </row>
    <row r="7" customFormat="false" ht="15" hidden="false" customHeight="true" outlineLevel="0" collapsed="false">
      <c r="A7" s="11" t="s">
        <v>248</v>
      </c>
      <c r="B7" s="6" t="s">
        <v>249</v>
      </c>
      <c r="C7" s="13" t="n">
        <v>0.7</v>
      </c>
      <c r="D7" s="6" t="s">
        <v>250</v>
      </c>
      <c r="E7" s="8" t="s">
        <v>251</v>
      </c>
    </row>
    <row r="8" customFormat="false" ht="15" hidden="false" customHeight="true" outlineLevel="0" collapsed="false">
      <c r="A8" s="11" t="s">
        <v>252</v>
      </c>
      <c r="B8" s="6" t="s">
        <v>253</v>
      </c>
      <c r="C8" s="14" t="n">
        <v>1</v>
      </c>
      <c r="D8" s="6" t="s">
        <v>254</v>
      </c>
      <c r="E8" s="8" t="s">
        <v>255</v>
      </c>
    </row>
    <row r="9" customFormat="false" ht="15" hidden="false" customHeight="true" outlineLevel="0" collapsed="false">
      <c r="A9" s="11" t="s">
        <v>256</v>
      </c>
      <c r="B9" s="6" t="s">
        <v>257</v>
      </c>
      <c r="C9" s="12" t="n">
        <v>330</v>
      </c>
      <c r="D9" s="6" t="s">
        <v>258</v>
      </c>
      <c r="E9" s="8" t="s">
        <v>259</v>
      </c>
    </row>
    <row r="11" customFormat="false" ht="15" hidden="false" customHeight="true" outlineLevel="0" collapsed="false">
      <c r="A11" s="5" t="s">
        <v>260</v>
      </c>
      <c r="B11" s="5"/>
      <c r="C11" s="5"/>
      <c r="D11" s="5"/>
      <c r="E11" s="5"/>
    </row>
    <row r="12" customFormat="false" ht="15" hidden="false" customHeight="true" outlineLevel="0" collapsed="false">
      <c r="A12" s="11" t="s">
        <v>261</v>
      </c>
      <c r="B12" s="6" t="s">
        <v>262</v>
      </c>
      <c r="C12" s="15" t="n">
        <v>0.3</v>
      </c>
      <c r="D12" s="6" t="s">
        <v>263</v>
      </c>
      <c r="E12" s="8" t="s">
        <v>264</v>
      </c>
    </row>
    <row r="13" customFormat="false" ht="15" hidden="false" customHeight="true" outlineLevel="0" collapsed="false">
      <c r="A13" s="11" t="s">
        <v>265</v>
      </c>
      <c r="B13" s="6" t="s">
        <v>266</v>
      </c>
      <c r="C13" s="16" t="n">
        <v>0.47</v>
      </c>
      <c r="D13" s="6" t="s">
        <v>263</v>
      </c>
      <c r="E13" s="8" t="s">
        <v>267</v>
      </c>
    </row>
    <row r="14" customFormat="false" ht="15" hidden="false" customHeight="true" outlineLevel="0" collapsed="false">
      <c r="A14" s="11" t="s">
        <v>268</v>
      </c>
      <c r="B14" s="6" t="s">
        <v>180</v>
      </c>
      <c r="C14" s="16" t="n">
        <v>0.05</v>
      </c>
      <c r="D14" s="6" t="s">
        <v>263</v>
      </c>
      <c r="E14" s="8" t="s">
        <v>269</v>
      </c>
    </row>
    <row r="15" customFormat="false" ht="15" hidden="false" customHeight="true" outlineLevel="0" collapsed="false">
      <c r="A15" s="11" t="s">
        <v>270</v>
      </c>
      <c r="B15" s="6" t="s">
        <v>184</v>
      </c>
      <c r="C15" s="16" t="n">
        <v>0.055</v>
      </c>
      <c r="D15" s="6" t="s">
        <v>263</v>
      </c>
      <c r="E15" s="8" t="s">
        <v>271</v>
      </c>
    </row>
    <row r="16" customFormat="false" ht="15" hidden="false" customHeight="true" outlineLevel="0" collapsed="false">
      <c r="A16" s="11" t="s">
        <v>272</v>
      </c>
      <c r="B16" s="6" t="s">
        <v>273</v>
      </c>
      <c r="C16" s="16" t="n">
        <v>0.02</v>
      </c>
      <c r="D16" s="6" t="s">
        <v>263</v>
      </c>
      <c r="E16" s="8" t="s">
        <v>274</v>
      </c>
    </row>
    <row r="17" customFormat="false" ht="21.75" hidden="false" customHeight="true" outlineLevel="0" collapsed="false">
      <c r="A17" s="11" t="s">
        <v>275</v>
      </c>
      <c r="B17" s="6" t="s">
        <v>39</v>
      </c>
      <c r="C17" s="15" t="n">
        <v>0.08</v>
      </c>
      <c r="D17" s="6" t="s">
        <v>263</v>
      </c>
      <c r="E17" s="8" t="s">
        <v>276</v>
      </c>
    </row>
    <row r="18" customFormat="false" ht="15" hidden="false" customHeight="true" outlineLevel="0" collapsed="false">
      <c r="A18" s="11" t="s">
        <v>277</v>
      </c>
      <c r="B18" s="6" t="s">
        <v>278</v>
      </c>
      <c r="C18" s="16" t="n">
        <v>0.025</v>
      </c>
      <c r="D18" s="6" t="s">
        <v>263</v>
      </c>
      <c r="E18" s="8" t="s">
        <v>279</v>
      </c>
    </row>
    <row r="19" customFormat="false" ht="15" hidden="false" customHeight="true" outlineLevel="0" collapsed="false">
      <c r="A19" s="11" t="s">
        <v>280</v>
      </c>
      <c r="B19" s="6" t="s">
        <v>281</v>
      </c>
      <c r="C19" s="16" t="n">
        <v>0.02</v>
      </c>
      <c r="D19" s="6" t="s">
        <v>263</v>
      </c>
      <c r="E19" s="8" t="s">
        <v>282</v>
      </c>
    </row>
    <row r="20" customFormat="false" ht="15" hidden="false" customHeight="true" outlineLevel="0" collapsed="false">
      <c r="A20" s="11" t="s">
        <v>283</v>
      </c>
      <c r="B20" s="6" t="s">
        <v>284</v>
      </c>
      <c r="C20" s="16" t="n">
        <v>0.8</v>
      </c>
      <c r="D20" s="6" t="s">
        <v>263</v>
      </c>
      <c r="E20" s="8" t="s">
        <v>285</v>
      </c>
    </row>
    <row r="21" customFormat="false" ht="15" hidden="false" customHeight="true" outlineLevel="0" collapsed="false">
      <c r="A21" s="11" t="s">
        <v>286</v>
      </c>
      <c r="B21" s="6" t="s">
        <v>287</v>
      </c>
      <c r="C21" s="16" t="n">
        <v>0.15</v>
      </c>
      <c r="D21" s="6" t="s">
        <v>263</v>
      </c>
      <c r="E21" s="8" t="s">
        <v>288</v>
      </c>
    </row>
    <row r="23" customFormat="false" ht="15" hidden="false" customHeight="true" outlineLevel="0" collapsed="false">
      <c r="A23" s="5" t="s">
        <v>289</v>
      </c>
      <c r="B23" s="5"/>
      <c r="C23" s="5"/>
      <c r="D23" s="5"/>
      <c r="E23" s="5"/>
    </row>
    <row r="24" customFormat="false" ht="15" hidden="false" customHeight="true" outlineLevel="0" collapsed="false">
      <c r="A24" s="11" t="s">
        <v>290</v>
      </c>
      <c r="B24" s="6" t="s">
        <v>291</v>
      </c>
      <c r="C24" s="16" t="n">
        <v>0.69315</v>
      </c>
      <c r="D24" s="6" t="s">
        <v>263</v>
      </c>
      <c r="E24" s="8" t="s">
        <v>292</v>
      </c>
    </row>
    <row r="25" customFormat="false" ht="15" hidden="false" customHeight="true" outlineLevel="0" collapsed="false">
      <c r="A25" s="11" t="s">
        <v>293</v>
      </c>
      <c r="B25" s="6" t="s">
        <v>294</v>
      </c>
      <c r="C25" s="16" t="n">
        <v>0.193</v>
      </c>
      <c r="D25" s="6" t="s">
        <v>263</v>
      </c>
      <c r="E25" s="8" t="s">
        <v>295</v>
      </c>
    </row>
    <row r="26" customFormat="false" ht="15" hidden="false" customHeight="true" outlineLevel="0" collapsed="false">
      <c r="A26" s="11" t="s">
        <v>296</v>
      </c>
      <c r="B26" s="6" t="s">
        <v>297</v>
      </c>
      <c r="C26" s="16" t="n">
        <v>0.10325</v>
      </c>
      <c r="D26" s="6" t="s">
        <v>263</v>
      </c>
      <c r="E26" s="8" t="s">
        <v>298</v>
      </c>
    </row>
    <row r="27" customFormat="false" ht="15" hidden="false" customHeight="true" outlineLevel="0" collapsed="false">
      <c r="A27" s="11" t="s">
        <v>299</v>
      </c>
      <c r="B27" s="6" t="s">
        <v>166</v>
      </c>
      <c r="C27" s="15" t="n">
        <v>0.69</v>
      </c>
      <c r="D27" s="6" t="s">
        <v>263</v>
      </c>
      <c r="E27" s="8" t="s">
        <v>300</v>
      </c>
    </row>
    <row r="28" customFormat="false" ht="15" hidden="false" customHeight="true" outlineLevel="0" collapsed="false">
      <c r="A28" s="11" t="s">
        <v>301</v>
      </c>
      <c r="B28" s="6" t="s">
        <v>302</v>
      </c>
      <c r="C28" s="13" t="n">
        <v>0.85</v>
      </c>
      <c r="D28" s="6" t="s">
        <v>303</v>
      </c>
      <c r="E28" s="8" t="s">
        <v>304</v>
      </c>
    </row>
    <row r="30" customFormat="false" ht="15" hidden="false" customHeight="true" outlineLevel="0" collapsed="false">
      <c r="A30" s="5" t="s">
        <v>305</v>
      </c>
      <c r="B30" s="5"/>
      <c r="C30" s="5"/>
      <c r="D30" s="5"/>
      <c r="E30" s="5"/>
    </row>
    <row r="31" customFormat="false" ht="15" hidden="false" customHeight="true" outlineLevel="0" collapsed="false">
      <c r="A31" s="11" t="s">
        <v>306</v>
      </c>
      <c r="B31" s="6" t="s">
        <v>307</v>
      </c>
      <c r="C31" s="17" t="n">
        <v>37.3</v>
      </c>
      <c r="D31" s="6" t="s">
        <v>308</v>
      </c>
      <c r="E31" s="8" t="s">
        <v>309</v>
      </c>
    </row>
    <row r="32" customFormat="false" ht="21.75" hidden="false" customHeight="true" outlineLevel="0" collapsed="false">
      <c r="A32" s="11" t="s">
        <v>310</v>
      </c>
      <c r="B32" s="6" t="s">
        <v>311</v>
      </c>
      <c r="C32" s="17" t="n">
        <v>11</v>
      </c>
      <c r="D32" s="6" t="s">
        <v>308</v>
      </c>
      <c r="E32" s="8" t="s">
        <v>312</v>
      </c>
    </row>
    <row r="33" customFormat="false" ht="15" hidden="false" customHeight="true" outlineLevel="0" collapsed="false">
      <c r="A33" s="11" t="s">
        <v>313</v>
      </c>
      <c r="B33" s="6" t="s">
        <v>86</v>
      </c>
      <c r="C33" s="12" t="n">
        <v>2714</v>
      </c>
      <c r="D33" s="6" t="s">
        <v>314</v>
      </c>
      <c r="E33" s="8" t="s">
        <v>315</v>
      </c>
    </row>
    <row r="34" customFormat="false" ht="15" hidden="false" customHeight="true" outlineLevel="0" collapsed="false">
      <c r="A34" s="11" t="s">
        <v>316</v>
      </c>
      <c r="B34" s="6" t="s">
        <v>90</v>
      </c>
      <c r="C34" s="16" t="n">
        <v>0.85</v>
      </c>
      <c r="D34" s="6" t="s">
        <v>263</v>
      </c>
      <c r="E34" s="8" t="s">
        <v>84</v>
      </c>
    </row>
    <row r="35" customFormat="false" ht="15" hidden="false" customHeight="true" outlineLevel="0" collapsed="false">
      <c r="A35" s="11" t="s">
        <v>317</v>
      </c>
      <c r="B35" s="6" t="s">
        <v>81</v>
      </c>
      <c r="C35" s="18" t="n">
        <v>0.05</v>
      </c>
      <c r="D35" s="6" t="s">
        <v>318</v>
      </c>
      <c r="E35" s="8" t="s">
        <v>319</v>
      </c>
    </row>
    <row r="36" customFormat="false" ht="15" hidden="false" customHeight="true" outlineLevel="0" collapsed="false">
      <c r="A36" s="11" t="s">
        <v>320</v>
      </c>
      <c r="B36" s="6" t="s">
        <v>321</v>
      </c>
      <c r="C36" s="12" t="n">
        <v>38</v>
      </c>
      <c r="D36" s="6" t="s">
        <v>322</v>
      </c>
      <c r="E36" s="8" t="s">
        <v>4</v>
      </c>
    </row>
    <row r="37" customFormat="false" ht="15" hidden="false" customHeight="true" outlineLevel="0" collapsed="false">
      <c r="A37" s="11" t="s">
        <v>323</v>
      </c>
      <c r="B37" s="6" t="s">
        <v>324</v>
      </c>
      <c r="C37" s="19" t="n">
        <f aca="false">'1-Inputs'!$C$169</f>
        <v>25</v>
      </c>
      <c r="D37" s="6" t="s">
        <v>308</v>
      </c>
      <c r="E37" s="8" t="s">
        <v>325</v>
      </c>
    </row>
    <row r="39" customFormat="false" ht="15" hidden="false" customHeight="true" outlineLevel="0" collapsed="false">
      <c r="A39" s="5" t="s">
        <v>326</v>
      </c>
      <c r="B39" s="5"/>
      <c r="C39" s="5"/>
      <c r="D39" s="5"/>
      <c r="E39" s="5"/>
    </row>
    <row r="40" customFormat="false" ht="15" hidden="false" customHeight="true" outlineLevel="0" collapsed="false">
      <c r="A40" s="11" t="s">
        <v>327</v>
      </c>
      <c r="B40" s="6" t="s">
        <v>328</v>
      </c>
      <c r="C40" s="16" t="n">
        <v>0.9</v>
      </c>
      <c r="D40" s="6" t="s">
        <v>263</v>
      </c>
      <c r="E40" s="8" t="s">
        <v>329</v>
      </c>
    </row>
    <row r="41" customFormat="false" ht="15" hidden="false" customHeight="true" outlineLevel="0" collapsed="false">
      <c r="A41" s="11" t="s">
        <v>330</v>
      </c>
      <c r="B41" s="6" t="s">
        <v>331</v>
      </c>
      <c r="C41" s="16" t="n">
        <v>0.75</v>
      </c>
      <c r="D41" s="6" t="s">
        <v>263</v>
      </c>
      <c r="E41" s="8" t="s">
        <v>332</v>
      </c>
    </row>
    <row r="42" customFormat="false" ht="15" hidden="false" customHeight="true" outlineLevel="0" collapsed="false">
      <c r="A42" s="11" t="s">
        <v>333</v>
      </c>
      <c r="B42" s="6" t="s">
        <v>334</v>
      </c>
      <c r="C42" s="16" t="n">
        <v>0.7</v>
      </c>
      <c r="D42" s="6" t="s">
        <v>263</v>
      </c>
      <c r="E42" s="8" t="s">
        <v>335</v>
      </c>
    </row>
    <row r="43" customFormat="false" ht="15" hidden="false" customHeight="true" outlineLevel="0" collapsed="false">
      <c r="A43" s="11" t="s">
        <v>336</v>
      </c>
      <c r="B43" s="6" t="s">
        <v>337</v>
      </c>
      <c r="C43" s="16" t="n">
        <v>0.5</v>
      </c>
      <c r="D43" s="6" t="s">
        <v>263</v>
      </c>
      <c r="E43" s="8" t="s">
        <v>338</v>
      </c>
    </row>
    <row r="44" customFormat="false" ht="15" hidden="false" customHeight="true" outlineLevel="0" collapsed="false">
      <c r="A44" s="11" t="s">
        <v>339</v>
      </c>
      <c r="B44" s="6" t="s">
        <v>340</v>
      </c>
      <c r="C44" s="16" t="n">
        <v>0.85</v>
      </c>
      <c r="D44" s="6" t="s">
        <v>263</v>
      </c>
      <c r="E44" s="8" t="s">
        <v>341</v>
      </c>
    </row>
    <row r="45" customFormat="false" ht="15" hidden="false" customHeight="true" outlineLevel="0" collapsed="false">
      <c r="A45" s="11" t="s">
        <v>342</v>
      </c>
      <c r="B45" s="6" t="s">
        <v>343</v>
      </c>
      <c r="C45" s="16" t="n">
        <v>0.8</v>
      </c>
      <c r="D45" s="6" t="s">
        <v>263</v>
      </c>
      <c r="E45" s="8" t="s">
        <v>344</v>
      </c>
    </row>
    <row r="46" customFormat="false" ht="15" hidden="false" customHeight="true" outlineLevel="0" collapsed="false">
      <c r="A46" s="11" t="s">
        <v>345</v>
      </c>
      <c r="B46" s="6" t="s">
        <v>346</v>
      </c>
      <c r="C46" s="16" t="n">
        <v>0.7</v>
      </c>
      <c r="D46" s="6" t="s">
        <v>263</v>
      </c>
      <c r="E46" s="8" t="s">
        <v>347</v>
      </c>
    </row>
    <row r="48" customFormat="false" ht="15" hidden="false" customHeight="true" outlineLevel="0" collapsed="false">
      <c r="A48" s="5" t="s">
        <v>348</v>
      </c>
      <c r="B48" s="5"/>
      <c r="C48" s="5"/>
      <c r="D48" s="5"/>
      <c r="E48" s="5"/>
    </row>
    <row r="49" customFormat="false" ht="15" hidden="false" customHeight="true" outlineLevel="0" collapsed="false">
      <c r="A49" s="11" t="s">
        <v>349</v>
      </c>
      <c r="B49" s="6" t="s">
        <v>350</v>
      </c>
      <c r="C49" s="20" t="n">
        <v>1</v>
      </c>
      <c r="D49" s="6" t="s">
        <v>351</v>
      </c>
      <c r="E49" s="8" t="s">
        <v>352</v>
      </c>
    </row>
    <row r="50" customFormat="false" ht="15" hidden="false" customHeight="true" outlineLevel="0" collapsed="false">
      <c r="A50" s="11" t="s">
        <v>353</v>
      </c>
      <c r="B50" s="6" t="s">
        <v>354</v>
      </c>
      <c r="C50" s="14" t="n">
        <v>110</v>
      </c>
      <c r="D50" s="6" t="s">
        <v>355</v>
      </c>
      <c r="E50" s="8" t="s">
        <v>356</v>
      </c>
    </row>
    <row r="51" customFormat="false" ht="15" hidden="false" customHeight="true" outlineLevel="0" collapsed="false">
      <c r="A51" s="11" t="s">
        <v>357</v>
      </c>
      <c r="B51" s="6" t="s">
        <v>358</v>
      </c>
      <c r="C51" s="12" t="n">
        <v>100</v>
      </c>
      <c r="D51" s="6" t="s">
        <v>355</v>
      </c>
      <c r="E51" s="8" t="s">
        <v>359</v>
      </c>
    </row>
    <row r="52" customFormat="false" ht="15" hidden="false" customHeight="true" outlineLevel="0" collapsed="false">
      <c r="A52" s="11" t="s">
        <v>360</v>
      </c>
      <c r="B52" s="6" t="s">
        <v>361</v>
      </c>
      <c r="C52" s="16" t="n">
        <v>0.5</v>
      </c>
      <c r="D52" s="6" t="s">
        <v>362</v>
      </c>
      <c r="E52" s="8" t="s">
        <v>363</v>
      </c>
    </row>
    <row r="53" customFormat="false" ht="15" hidden="false" customHeight="true" outlineLevel="0" collapsed="false">
      <c r="A53" s="11" t="s">
        <v>364</v>
      </c>
      <c r="B53" s="6" t="s">
        <v>365</v>
      </c>
      <c r="C53" s="12" t="n">
        <v>120</v>
      </c>
      <c r="D53" s="6" t="s">
        <v>355</v>
      </c>
      <c r="E53" s="8"/>
    </row>
    <row r="54" customFormat="false" ht="15" hidden="false" customHeight="true" outlineLevel="0" collapsed="false">
      <c r="A54" s="11" t="s">
        <v>366</v>
      </c>
      <c r="B54" s="6" t="s">
        <v>367</v>
      </c>
      <c r="C54" s="16" t="n">
        <v>0.14</v>
      </c>
      <c r="D54" s="6" t="s">
        <v>362</v>
      </c>
      <c r="E54" s="8"/>
    </row>
    <row r="55" customFormat="false" ht="15" hidden="false" customHeight="true" outlineLevel="0" collapsed="false">
      <c r="A55" s="11" t="s">
        <v>368</v>
      </c>
      <c r="B55" s="6" t="s">
        <v>369</v>
      </c>
      <c r="C55" s="12" t="n">
        <v>150</v>
      </c>
      <c r="D55" s="6" t="s">
        <v>355</v>
      </c>
      <c r="E55" s="8" t="s">
        <v>370</v>
      </c>
    </row>
    <row r="56" customFormat="false" ht="15" hidden="false" customHeight="true" outlineLevel="0" collapsed="false">
      <c r="A56" s="11" t="s">
        <v>371</v>
      </c>
      <c r="B56" s="6" t="s">
        <v>372</v>
      </c>
      <c r="C56" s="16" t="n">
        <v>0.29</v>
      </c>
      <c r="D56" s="6" t="s">
        <v>362</v>
      </c>
      <c r="E56" s="8"/>
    </row>
    <row r="57" customFormat="false" ht="15" hidden="false" customHeight="true" outlineLevel="0" collapsed="false">
      <c r="A57" s="11" t="s">
        <v>373</v>
      </c>
      <c r="B57" s="6" t="s">
        <v>374</v>
      </c>
      <c r="C57" s="12" t="n">
        <v>130</v>
      </c>
      <c r="D57" s="6" t="s">
        <v>355</v>
      </c>
      <c r="E57" s="8" t="s">
        <v>375</v>
      </c>
    </row>
    <row r="58" customFormat="false" ht="15" hidden="false" customHeight="true" outlineLevel="0" collapsed="false">
      <c r="A58" s="11" t="s">
        <v>376</v>
      </c>
      <c r="B58" s="6" t="s">
        <v>377</v>
      </c>
      <c r="C58" s="16" t="n">
        <v>0.07</v>
      </c>
      <c r="D58" s="6" t="s">
        <v>362</v>
      </c>
      <c r="E58" s="8"/>
    </row>
    <row r="59" customFormat="false" ht="15" hidden="false" customHeight="true" outlineLevel="0" collapsed="false">
      <c r="A59" s="11" t="s">
        <v>378</v>
      </c>
      <c r="B59" s="6" t="s">
        <v>379</v>
      </c>
      <c r="C59" s="12" t="n">
        <v>800</v>
      </c>
      <c r="D59" s="6" t="s">
        <v>355</v>
      </c>
      <c r="E59" s="8" t="s">
        <v>380</v>
      </c>
    </row>
    <row r="60" customFormat="false" ht="15" hidden="false" customHeight="true" outlineLevel="0" collapsed="false">
      <c r="A60" s="11" t="s">
        <v>381</v>
      </c>
      <c r="B60" s="6" t="s">
        <v>382</v>
      </c>
      <c r="C60" s="16" t="n">
        <v>0</v>
      </c>
      <c r="D60" s="6" t="s">
        <v>362</v>
      </c>
      <c r="E60" s="8" t="s">
        <v>383</v>
      </c>
    </row>
    <row r="61" customFormat="false" ht="15" hidden="false" customHeight="true" outlineLevel="0" collapsed="false">
      <c r="A61" s="11" t="s">
        <v>384</v>
      </c>
      <c r="B61" s="6" t="s">
        <v>385</v>
      </c>
      <c r="C61" s="12" t="n">
        <v>30</v>
      </c>
      <c r="D61" s="6" t="s">
        <v>355</v>
      </c>
      <c r="E61" s="8" t="s">
        <v>386</v>
      </c>
    </row>
    <row r="62" customFormat="false" ht="15" hidden="false" customHeight="true" outlineLevel="0" collapsed="false">
      <c r="A62" s="11" t="s">
        <v>387</v>
      </c>
      <c r="B62" s="6" t="s">
        <v>388</v>
      </c>
      <c r="C62" s="16" t="n">
        <v>0</v>
      </c>
      <c r="D62" s="6" t="s">
        <v>362</v>
      </c>
      <c r="E62" s="8"/>
    </row>
    <row r="63" customFormat="false" ht="15" hidden="false" customHeight="true" outlineLevel="0" collapsed="false">
      <c r="A63" s="11" t="s">
        <v>389</v>
      </c>
      <c r="B63" s="6" t="s">
        <v>390</v>
      </c>
      <c r="C63" s="16" t="n">
        <f aca="false">'1-Inputs'!$C$52+'1-Inputs'!$C$54+'1-Inputs'!$C$56+'1-Inputs'!$C$58+'1-Inputs'!$C$60+'1-Inputs'!$C$62</f>
        <v>1</v>
      </c>
      <c r="D63" s="6" t="s">
        <v>351</v>
      </c>
      <c r="E63" s="8" t="s">
        <v>391</v>
      </c>
    </row>
    <row r="64" customFormat="false" ht="15" hidden="false" customHeight="true" outlineLevel="0" collapsed="false">
      <c r="A64" s="11" t="s">
        <v>392</v>
      </c>
      <c r="B64" s="6" t="s">
        <v>393</v>
      </c>
      <c r="C64" s="12" t="n">
        <f aca="false">('1-Inputs'!$C$51*'1-Inputs'!$C$52+'1-Inputs'!$C$53*'1-Inputs'!$C$54+'1-Inputs'!$C$55*'1-Inputs'!$C$56+'1-Inputs'!$C$57*'1-Inputs'!$C$58+'1-Inputs'!$C$59*'1-Inputs'!$C$60+'1-Inputs'!$C$61*'1-Inputs'!$C$62)/MAX(0.0001,'1-Inputs'!$C$63)</f>
        <v>119.4</v>
      </c>
      <c r="D64" s="6" t="s">
        <v>355</v>
      </c>
      <c r="E64" s="8" t="s">
        <v>394</v>
      </c>
    </row>
    <row r="65" customFormat="false" ht="15" hidden="false" customHeight="true" outlineLevel="0" collapsed="false">
      <c r="A65" s="11" t="s">
        <v>395</v>
      </c>
      <c r="B65" s="6" t="s">
        <v>396</v>
      </c>
      <c r="C65" s="21" t="n">
        <f aca="false">IF('1-Inputs'!$C$49=1,'1-Inputs'!$C$50,'1-Inputs'!$C$64)</f>
        <v>110</v>
      </c>
      <c r="D65" s="6" t="s">
        <v>355</v>
      </c>
      <c r="E65" s="8" t="s">
        <v>397</v>
      </c>
    </row>
    <row r="66" customFormat="false" ht="15" hidden="false" customHeight="true" outlineLevel="0" collapsed="false">
      <c r="A66" s="11" t="s">
        <v>398</v>
      </c>
      <c r="B66" s="6" t="s">
        <v>399</v>
      </c>
      <c r="C66" s="20" t="n">
        <v>2</v>
      </c>
      <c r="D66" s="6" t="s">
        <v>351</v>
      </c>
      <c r="E66" s="8" t="s">
        <v>400</v>
      </c>
    </row>
    <row r="67" customFormat="false" ht="15" hidden="false" customHeight="true" outlineLevel="0" collapsed="false">
      <c r="A67" s="11" t="s">
        <v>401</v>
      </c>
      <c r="B67" s="6" t="s">
        <v>402</v>
      </c>
      <c r="C67" s="16" t="n">
        <v>0.1</v>
      </c>
      <c r="D67" s="6" t="s">
        <v>263</v>
      </c>
      <c r="E67" s="8" t="s">
        <v>403</v>
      </c>
    </row>
    <row r="68" customFormat="false" ht="15" hidden="false" customHeight="true" outlineLevel="0" collapsed="false">
      <c r="A68" s="11" t="s">
        <v>404</v>
      </c>
      <c r="B68" s="6" t="s">
        <v>405</v>
      </c>
      <c r="C68" s="12" t="n">
        <v>450</v>
      </c>
      <c r="D68" s="6" t="s">
        <v>355</v>
      </c>
      <c r="E68" s="8" t="s">
        <v>406</v>
      </c>
    </row>
    <row r="69" customFormat="false" ht="15" hidden="false" customHeight="true" outlineLevel="0" collapsed="false">
      <c r="A69" s="11" t="s">
        <v>407</v>
      </c>
      <c r="B69" s="6"/>
      <c r="C69" s="12" t="n">
        <v>600</v>
      </c>
      <c r="D69" s="6" t="s">
        <v>355</v>
      </c>
      <c r="E69" s="8" t="s">
        <v>408</v>
      </c>
    </row>
    <row r="70" customFormat="false" ht="15" hidden="false" customHeight="true" outlineLevel="0" collapsed="false">
      <c r="A70" s="11" t="s">
        <v>409</v>
      </c>
      <c r="B70" s="6"/>
      <c r="C70" s="12" t="n">
        <v>800</v>
      </c>
      <c r="D70" s="6" t="s">
        <v>355</v>
      </c>
      <c r="E70" s="8" t="s">
        <v>410</v>
      </c>
    </row>
    <row r="71" customFormat="false" ht="15" hidden="false" customHeight="true" outlineLevel="0" collapsed="false">
      <c r="A71" s="11" t="s">
        <v>411</v>
      </c>
      <c r="B71" s="6" t="s">
        <v>412</v>
      </c>
      <c r="C71" s="16" t="n">
        <v>0.8</v>
      </c>
      <c r="D71" s="6" t="s">
        <v>263</v>
      </c>
      <c r="E71" s="8"/>
    </row>
    <row r="72" customFormat="false" ht="15" hidden="false" customHeight="true" outlineLevel="0" collapsed="false">
      <c r="A72" s="11" t="s">
        <v>413</v>
      </c>
      <c r="B72" s="6" t="s">
        <v>414</v>
      </c>
      <c r="C72" s="12" t="n">
        <v>500</v>
      </c>
      <c r="D72" s="6" t="s">
        <v>355</v>
      </c>
      <c r="E72" s="8" t="s">
        <v>406</v>
      </c>
    </row>
    <row r="73" customFormat="false" ht="15" hidden="false" customHeight="true" outlineLevel="0" collapsed="false">
      <c r="A73" s="11" t="s">
        <v>415</v>
      </c>
      <c r="B73" s="6"/>
      <c r="C73" s="12" t="n">
        <v>670</v>
      </c>
      <c r="D73" s="6" t="s">
        <v>355</v>
      </c>
      <c r="E73" s="8" t="s">
        <v>416</v>
      </c>
    </row>
    <row r="74" customFormat="false" ht="15" hidden="false" customHeight="true" outlineLevel="0" collapsed="false">
      <c r="A74" s="11" t="s">
        <v>417</v>
      </c>
      <c r="B74" s="6"/>
      <c r="C74" s="12" t="n">
        <v>950</v>
      </c>
      <c r="D74" s="6" t="s">
        <v>355</v>
      </c>
      <c r="E74" s="8" t="s">
        <v>410</v>
      </c>
    </row>
    <row r="75" customFormat="false" ht="15" hidden="false" customHeight="true" outlineLevel="0" collapsed="false">
      <c r="A75" s="11" t="s">
        <v>418</v>
      </c>
      <c r="B75" s="6" t="s">
        <v>419</v>
      </c>
      <c r="C75" s="16" t="n">
        <v>0.1</v>
      </c>
      <c r="D75" s="6" t="s">
        <v>263</v>
      </c>
      <c r="E75" s="8"/>
    </row>
    <row r="76" customFormat="false" ht="15" hidden="false" customHeight="true" outlineLevel="0" collapsed="false">
      <c r="A76" s="11" t="s">
        <v>420</v>
      </c>
      <c r="B76" s="6" t="s">
        <v>421</v>
      </c>
      <c r="C76" s="12" t="n">
        <v>350</v>
      </c>
      <c r="D76" s="6" t="s">
        <v>355</v>
      </c>
      <c r="E76" s="8" t="s">
        <v>406</v>
      </c>
    </row>
    <row r="77" customFormat="false" ht="15" hidden="false" customHeight="true" outlineLevel="0" collapsed="false">
      <c r="A77" s="11" t="s">
        <v>422</v>
      </c>
      <c r="B77" s="6"/>
      <c r="C77" s="12" t="n">
        <v>450</v>
      </c>
      <c r="D77" s="6" t="s">
        <v>355</v>
      </c>
      <c r="E77" s="8" t="s">
        <v>408</v>
      </c>
    </row>
    <row r="78" customFormat="false" ht="15" hidden="false" customHeight="true" outlineLevel="0" collapsed="false">
      <c r="A78" s="11" t="s">
        <v>423</v>
      </c>
      <c r="B78" s="6"/>
      <c r="C78" s="12" t="n">
        <v>550</v>
      </c>
      <c r="D78" s="6" t="s">
        <v>355</v>
      </c>
      <c r="E78" s="8" t="s">
        <v>410</v>
      </c>
    </row>
    <row r="79" customFormat="false" ht="15" hidden="false" customHeight="true" outlineLevel="0" collapsed="false">
      <c r="A79" s="11" t="s">
        <v>424</v>
      </c>
      <c r="B79" s="6" t="s">
        <v>425</v>
      </c>
      <c r="C79" s="21" t="n">
        <f aca="false">'1-Inputs'!$C$67*CHOOSE('1-Inputs'!$C$66,'1-Inputs'!$C$68,'1-Inputs'!$C$69,'1-Inputs'!$C$70)+'1-Inputs'!$C$71*CHOOSE('1-Inputs'!$C$66,'1-Inputs'!$C$72,'1-Inputs'!$C$73,'1-Inputs'!$C$74)+'1-Inputs'!$C$75*CHOOSE('1-Inputs'!$C$66,'1-Inputs'!$C$76,'1-Inputs'!$C$77,'1-Inputs'!$C$78)</f>
        <v>641</v>
      </c>
      <c r="D79" s="6" t="s">
        <v>355</v>
      </c>
      <c r="E79" s="8" t="s">
        <v>426</v>
      </c>
    </row>
    <row r="80" customFormat="false" ht="15" hidden="false" customHeight="true" outlineLevel="0" collapsed="false">
      <c r="A80" s="11" t="s">
        <v>427</v>
      </c>
      <c r="B80" s="6" t="s">
        <v>169</v>
      </c>
      <c r="C80" s="22" t="n">
        <f aca="false">IF('1-Inputs'!$C$168=1,'1-Inputs'!$C$171,'1-Inputs'!$C$172)</f>
        <v>100</v>
      </c>
      <c r="D80" s="6" t="s">
        <v>355</v>
      </c>
      <c r="E80" s="8" t="s">
        <v>428</v>
      </c>
    </row>
    <row r="81" customFormat="false" ht="15" hidden="false" customHeight="true" outlineLevel="0" collapsed="false">
      <c r="A81" s="11" t="s">
        <v>429</v>
      </c>
      <c r="B81" s="6" t="s">
        <v>430</v>
      </c>
      <c r="C81" s="12" t="n">
        <v>250</v>
      </c>
      <c r="D81" s="6" t="s">
        <v>355</v>
      </c>
      <c r="E81" s="8" t="s">
        <v>431</v>
      </c>
    </row>
    <row r="82" customFormat="false" ht="15" hidden="false" customHeight="true" outlineLevel="0" collapsed="false">
      <c r="A82" s="11" t="s">
        <v>432</v>
      </c>
      <c r="B82" s="6" t="s">
        <v>433</v>
      </c>
      <c r="C82" s="12" t="n">
        <v>1400</v>
      </c>
      <c r="D82" s="6" t="s">
        <v>355</v>
      </c>
      <c r="E82" s="8" t="s">
        <v>434</v>
      </c>
    </row>
    <row r="83" customFormat="false" ht="15" hidden="false" customHeight="true" outlineLevel="0" collapsed="false">
      <c r="A83" s="11" t="s">
        <v>435</v>
      </c>
      <c r="B83" s="6" t="s">
        <v>436</v>
      </c>
      <c r="C83" s="12" t="n">
        <v>500</v>
      </c>
      <c r="D83" s="6" t="s">
        <v>355</v>
      </c>
      <c r="E83" s="8" t="s">
        <v>437</v>
      </c>
    </row>
    <row r="84" customFormat="false" ht="15" hidden="false" customHeight="true" outlineLevel="0" collapsed="false">
      <c r="A84" s="11" t="s">
        <v>438</v>
      </c>
      <c r="B84" s="6" t="s">
        <v>439</v>
      </c>
      <c r="C84" s="12" t="n">
        <v>30</v>
      </c>
      <c r="D84" s="6" t="s">
        <v>355</v>
      </c>
      <c r="E84" s="8" t="s">
        <v>440</v>
      </c>
    </row>
    <row r="85" customFormat="false" ht="15" hidden="false" customHeight="true" outlineLevel="0" collapsed="false">
      <c r="A85" s="11" t="s">
        <v>441</v>
      </c>
      <c r="B85" s="6" t="s">
        <v>442</v>
      </c>
      <c r="C85" s="12" t="n">
        <v>110</v>
      </c>
      <c r="D85" s="6" t="s">
        <v>355</v>
      </c>
      <c r="E85" s="8" t="s">
        <v>443</v>
      </c>
    </row>
    <row r="86" customFormat="false" ht="15" hidden="false" customHeight="true" outlineLevel="0" collapsed="false">
      <c r="A86" s="11" t="s">
        <v>444</v>
      </c>
      <c r="B86" s="6" t="s">
        <v>113</v>
      </c>
      <c r="C86" s="23" t="n">
        <v>0.95</v>
      </c>
      <c r="D86" s="6" t="s">
        <v>445</v>
      </c>
      <c r="E86" s="8" t="s">
        <v>446</v>
      </c>
    </row>
    <row r="87" customFormat="false" ht="15" hidden="false" customHeight="true" outlineLevel="0" collapsed="false">
      <c r="A87" s="11" t="s">
        <v>447</v>
      </c>
      <c r="B87" s="6" t="s">
        <v>111</v>
      </c>
      <c r="C87" s="24" t="n">
        <v>0.15</v>
      </c>
      <c r="D87" s="6" t="s">
        <v>448</v>
      </c>
      <c r="E87" s="8" t="s">
        <v>449</v>
      </c>
    </row>
    <row r="89" customFormat="false" ht="15" hidden="false" customHeight="true" outlineLevel="0" collapsed="false">
      <c r="A89" s="5" t="s">
        <v>450</v>
      </c>
      <c r="B89" s="5"/>
      <c r="C89" s="5"/>
      <c r="D89" s="5"/>
      <c r="E89" s="5"/>
    </row>
    <row r="90" customFormat="false" ht="15" hidden="false" customHeight="true" outlineLevel="0" collapsed="false">
      <c r="A90" s="11" t="s">
        <v>451</v>
      </c>
      <c r="B90" s="6" t="s">
        <v>452</v>
      </c>
      <c r="C90" s="20" t="n">
        <v>0</v>
      </c>
      <c r="D90" s="6" t="s">
        <v>351</v>
      </c>
      <c r="E90" s="8" t="s">
        <v>453</v>
      </c>
    </row>
    <row r="91" customFormat="false" ht="21.75" hidden="false" customHeight="true" outlineLevel="0" collapsed="false">
      <c r="A91" s="11" t="s">
        <v>454</v>
      </c>
      <c r="B91" s="6" t="s">
        <v>455</v>
      </c>
      <c r="C91" s="25" t="n">
        <v>0</v>
      </c>
      <c r="D91" s="6" t="s">
        <v>456</v>
      </c>
      <c r="E91" s="8" t="s">
        <v>457</v>
      </c>
    </row>
    <row r="92" customFormat="false" ht="15" hidden="false" customHeight="true" outlineLevel="0" collapsed="false">
      <c r="A92" s="11" t="s">
        <v>458</v>
      </c>
      <c r="B92" s="6" t="s">
        <v>459</v>
      </c>
      <c r="C92" s="12" t="n">
        <v>50</v>
      </c>
      <c r="D92" s="6" t="s">
        <v>460</v>
      </c>
      <c r="E92" s="8" t="s">
        <v>461</v>
      </c>
    </row>
    <row r="93" customFormat="false" ht="15" hidden="false" customHeight="true" outlineLevel="0" collapsed="false">
      <c r="A93" s="11" t="s">
        <v>462</v>
      </c>
      <c r="B93" s="6" t="s">
        <v>463</v>
      </c>
      <c r="C93" s="16" t="n">
        <v>0.857</v>
      </c>
      <c r="D93" s="6" t="s">
        <v>263</v>
      </c>
      <c r="E93" s="8" t="s">
        <v>464</v>
      </c>
    </row>
    <row r="94" customFormat="false" ht="15" hidden="false" customHeight="true" outlineLevel="0" collapsed="false">
      <c r="A94" s="11" t="s">
        <v>465</v>
      </c>
      <c r="B94" s="6" t="s">
        <v>466</v>
      </c>
      <c r="C94" s="16" t="n">
        <v>0.45</v>
      </c>
      <c r="D94" s="6" t="s">
        <v>263</v>
      </c>
      <c r="E94" s="8" t="s">
        <v>467</v>
      </c>
    </row>
    <row r="95" customFormat="false" ht="15" hidden="false" customHeight="true" outlineLevel="0" collapsed="false">
      <c r="A95" s="11" t="s">
        <v>468</v>
      </c>
      <c r="B95" s="6" t="s">
        <v>469</v>
      </c>
      <c r="C95" s="16" t="n">
        <v>0.8</v>
      </c>
      <c r="D95" s="6" t="s">
        <v>263</v>
      </c>
      <c r="E95" s="8" t="s">
        <v>470</v>
      </c>
    </row>
    <row r="96" customFormat="false" ht="15" hidden="false" customHeight="true" outlineLevel="0" collapsed="false">
      <c r="A96" s="11" t="s">
        <v>471</v>
      </c>
      <c r="B96" s="6" t="s">
        <v>472</v>
      </c>
      <c r="C96" s="16" t="n">
        <v>0.8</v>
      </c>
      <c r="D96" s="6" t="s">
        <v>263</v>
      </c>
      <c r="E96" s="8"/>
    </row>
    <row r="97" customFormat="false" ht="15" hidden="false" customHeight="true" outlineLevel="0" collapsed="false">
      <c r="A97" s="11" t="s">
        <v>473</v>
      </c>
      <c r="B97" s="6" t="s">
        <v>474</v>
      </c>
      <c r="C97" s="16" t="n">
        <v>0.5</v>
      </c>
      <c r="D97" s="6" t="s">
        <v>263</v>
      </c>
      <c r="E97" s="8" t="s">
        <v>475</v>
      </c>
    </row>
    <row r="98" customFormat="false" ht="15" hidden="false" customHeight="true" outlineLevel="0" collapsed="false">
      <c r="A98" s="11" t="s">
        <v>476</v>
      </c>
      <c r="B98" s="6" t="s">
        <v>477</v>
      </c>
      <c r="C98" s="24" t="n">
        <v>3.1</v>
      </c>
      <c r="D98" s="6" t="s">
        <v>478</v>
      </c>
      <c r="E98" s="8" t="s">
        <v>479</v>
      </c>
    </row>
    <row r="99" customFormat="false" ht="15" hidden="false" customHeight="true" outlineLevel="0" collapsed="false">
      <c r="A99" s="11" t="s">
        <v>480</v>
      </c>
      <c r="B99" s="6" t="s">
        <v>481</v>
      </c>
      <c r="C99" s="24" t="n">
        <v>2.68</v>
      </c>
      <c r="D99" s="6" t="s">
        <v>303</v>
      </c>
      <c r="E99" s="8" t="s">
        <v>482</v>
      </c>
    </row>
    <row r="100" customFormat="false" ht="15" hidden="false" customHeight="true" outlineLevel="0" collapsed="false">
      <c r="A100" s="11" t="s">
        <v>483</v>
      </c>
      <c r="B100" s="6" t="s">
        <v>484</v>
      </c>
      <c r="C100" s="12" t="n">
        <v>43</v>
      </c>
      <c r="D100" s="6" t="s">
        <v>485</v>
      </c>
      <c r="E100" s="8" t="s">
        <v>486</v>
      </c>
    </row>
    <row r="101" customFormat="false" ht="15" hidden="false" customHeight="true" outlineLevel="0" collapsed="false">
      <c r="A101" s="11" t="s">
        <v>487</v>
      </c>
      <c r="B101" s="6" t="s">
        <v>488</v>
      </c>
      <c r="C101" s="12" t="n">
        <v>25</v>
      </c>
      <c r="D101" s="6" t="s">
        <v>485</v>
      </c>
      <c r="E101" s="8" t="s">
        <v>489</v>
      </c>
    </row>
    <row r="103" customFormat="false" ht="15" hidden="false" customHeight="true" outlineLevel="0" collapsed="false">
      <c r="A103" s="5" t="s">
        <v>490</v>
      </c>
      <c r="B103" s="5"/>
      <c r="C103" s="5"/>
      <c r="D103" s="5"/>
      <c r="E103" s="5"/>
    </row>
    <row r="104" customFormat="false" ht="15" hidden="false" customHeight="true" outlineLevel="0" collapsed="false">
      <c r="A104" s="11" t="s">
        <v>491</v>
      </c>
      <c r="B104" s="6" t="s">
        <v>492</v>
      </c>
      <c r="C104" s="12" t="n">
        <v>15</v>
      </c>
      <c r="D104" s="6" t="s">
        <v>493</v>
      </c>
      <c r="E104" s="8" t="s">
        <v>494</v>
      </c>
    </row>
    <row r="105" customFormat="false" ht="15" hidden="false" customHeight="true" outlineLevel="0" collapsed="false">
      <c r="A105" s="11" t="s">
        <v>495</v>
      </c>
      <c r="B105" s="6" t="s">
        <v>496</v>
      </c>
      <c r="C105" s="12" t="n">
        <v>3</v>
      </c>
      <c r="D105" s="6" t="s">
        <v>493</v>
      </c>
      <c r="E105" s="8" t="s">
        <v>84</v>
      </c>
    </row>
    <row r="106" customFormat="false" ht="15" hidden="false" customHeight="true" outlineLevel="0" collapsed="false">
      <c r="A106" s="11" t="s">
        <v>497</v>
      </c>
      <c r="B106" s="6" t="s">
        <v>498</v>
      </c>
      <c r="C106" s="26" t="n">
        <f aca="false">'1-Inputs'!$C$173*'1-Inputs'!$C$175+'1-Inputs'!$C$174*'1-Inputs'!$C$176</f>
        <v>7</v>
      </c>
      <c r="D106" s="6" t="s">
        <v>493</v>
      </c>
      <c r="E106" s="8" t="s">
        <v>499</v>
      </c>
    </row>
    <row r="107" customFormat="false" ht="15" hidden="false" customHeight="true" outlineLevel="0" collapsed="false">
      <c r="A107" s="11" t="s">
        <v>500</v>
      </c>
      <c r="B107" s="6" t="s">
        <v>501</v>
      </c>
      <c r="C107" s="12" t="n">
        <v>56000</v>
      </c>
      <c r="D107" s="6" t="s">
        <v>502</v>
      </c>
      <c r="E107" s="8" t="s">
        <v>503</v>
      </c>
    </row>
    <row r="108" customFormat="false" ht="15" hidden="false" customHeight="true" outlineLevel="0" collapsed="false">
      <c r="A108" s="11" t="s">
        <v>504</v>
      </c>
      <c r="B108" s="6" t="s">
        <v>505</v>
      </c>
      <c r="C108" s="18" t="n">
        <v>0.01</v>
      </c>
      <c r="D108" s="6" t="s">
        <v>506</v>
      </c>
      <c r="E108" s="8" t="s">
        <v>507</v>
      </c>
    </row>
    <row r="109" customFormat="false" ht="15" hidden="false" customHeight="true" outlineLevel="0" collapsed="false">
      <c r="A109" s="11" t="s">
        <v>508</v>
      </c>
      <c r="B109" s="6" t="s">
        <v>509</v>
      </c>
      <c r="C109" s="16" t="n">
        <v>0.04</v>
      </c>
      <c r="D109" s="6" t="s">
        <v>506</v>
      </c>
      <c r="E109" s="8" t="s">
        <v>510</v>
      </c>
    </row>
    <row r="110" customFormat="false" ht="15" hidden="false" customHeight="true" outlineLevel="0" collapsed="false">
      <c r="A110" s="11" t="s">
        <v>511</v>
      </c>
      <c r="B110" s="6" t="s">
        <v>512</v>
      </c>
      <c r="C110" s="20" t="n">
        <v>4</v>
      </c>
      <c r="D110" s="6" t="s">
        <v>513</v>
      </c>
      <c r="E110" s="8" t="s">
        <v>514</v>
      </c>
    </row>
    <row r="111" customFormat="false" ht="15" hidden="false" customHeight="true" outlineLevel="0" collapsed="false">
      <c r="A111" s="11" t="s">
        <v>515</v>
      </c>
      <c r="B111" s="6" t="s">
        <v>516</v>
      </c>
      <c r="C111" s="20" t="n">
        <v>10</v>
      </c>
      <c r="D111" s="6" t="s">
        <v>513</v>
      </c>
      <c r="E111" s="8" t="s">
        <v>517</v>
      </c>
    </row>
    <row r="112" customFormat="false" ht="15" hidden="false" customHeight="true" outlineLevel="0" collapsed="false">
      <c r="A112" s="11" t="s">
        <v>518</v>
      </c>
      <c r="B112" s="6" t="s">
        <v>119</v>
      </c>
      <c r="C112" s="16" t="n">
        <v>0.02</v>
      </c>
      <c r="D112" s="6" t="s">
        <v>519</v>
      </c>
      <c r="E112" s="8" t="s">
        <v>520</v>
      </c>
    </row>
    <row r="113" customFormat="false" ht="15" hidden="false" customHeight="true" outlineLevel="0" collapsed="false">
      <c r="A113" s="11" t="s">
        <v>521</v>
      </c>
      <c r="B113" s="6" t="s">
        <v>522</v>
      </c>
      <c r="C113" s="20" t="n">
        <v>3000</v>
      </c>
      <c r="D113" s="6" t="s">
        <v>523</v>
      </c>
      <c r="E113" s="8" t="s">
        <v>524</v>
      </c>
    </row>
    <row r="114" customFormat="false" ht="15" hidden="false" customHeight="true" outlineLevel="0" collapsed="false">
      <c r="A114" s="11" t="s">
        <v>525</v>
      </c>
      <c r="B114" s="6" t="s">
        <v>117</v>
      </c>
      <c r="C114" s="16" t="n">
        <v>0.005</v>
      </c>
      <c r="D114" s="6" t="s">
        <v>519</v>
      </c>
      <c r="E114" s="8" t="s">
        <v>526</v>
      </c>
    </row>
    <row r="115" customFormat="false" ht="34.5" hidden="false" customHeight="true" outlineLevel="0" collapsed="false">
      <c r="A115" s="11" t="s">
        <v>527</v>
      </c>
      <c r="B115" s="6" t="s">
        <v>528</v>
      </c>
      <c r="C115" s="14" t="n">
        <v>150000</v>
      </c>
      <c r="D115" s="6" t="s">
        <v>529</v>
      </c>
      <c r="E115" s="8" t="s">
        <v>530</v>
      </c>
    </row>
    <row r="116" customFormat="false" ht="15" hidden="false" customHeight="true" outlineLevel="0" collapsed="false">
      <c r="A116" s="11" t="s">
        <v>531</v>
      </c>
      <c r="B116" s="6" t="s">
        <v>532</v>
      </c>
      <c r="C116" s="14" t="n">
        <v>15000</v>
      </c>
      <c r="D116" s="6" t="s">
        <v>529</v>
      </c>
      <c r="E116" s="8" t="s">
        <v>533</v>
      </c>
    </row>
    <row r="117" customFormat="false" ht="15" hidden="false" customHeight="true" outlineLevel="0" collapsed="false">
      <c r="A117" s="11" t="s">
        <v>534</v>
      </c>
      <c r="B117" s="6" t="s">
        <v>535</v>
      </c>
      <c r="C117" s="16" t="n">
        <v>0.78</v>
      </c>
      <c r="D117" s="6" t="s">
        <v>263</v>
      </c>
      <c r="E117" s="8" t="s">
        <v>536</v>
      </c>
    </row>
    <row r="118" customFormat="false" ht="21.75" hidden="false" customHeight="true" outlineLevel="0" collapsed="false">
      <c r="A118" s="11" t="s">
        <v>537</v>
      </c>
      <c r="B118" s="6" t="s">
        <v>538</v>
      </c>
      <c r="C118" s="20" t="n">
        <v>110</v>
      </c>
      <c r="D118" s="6" t="s">
        <v>355</v>
      </c>
      <c r="E118" s="8" t="s">
        <v>539</v>
      </c>
    </row>
    <row r="119" customFormat="false" ht="21.75" hidden="false" customHeight="true" outlineLevel="0" collapsed="false">
      <c r="A119" s="11" t="s">
        <v>540</v>
      </c>
      <c r="B119" s="6" t="s">
        <v>541</v>
      </c>
      <c r="C119" s="27" t="n">
        <f aca="false">'2-Production'!D50*1000/'2-Production'!D7</f>
        <v>5.33630136986299</v>
      </c>
      <c r="D119" s="6" t="s">
        <v>542</v>
      </c>
      <c r="E119" s="8" t="s">
        <v>543</v>
      </c>
    </row>
    <row r="120" customFormat="false" ht="15" hidden="false" customHeight="true" outlineLevel="0" collapsed="false">
      <c r="A120" s="11" t="s">
        <v>544</v>
      </c>
      <c r="B120" s="6" t="s">
        <v>545</v>
      </c>
      <c r="C120" s="20" t="n">
        <v>120</v>
      </c>
      <c r="D120" s="6" t="s">
        <v>355</v>
      </c>
      <c r="E120" s="8" t="s">
        <v>546</v>
      </c>
    </row>
    <row r="121" customFormat="false" ht="21.75" hidden="false" customHeight="true" outlineLevel="0" collapsed="false">
      <c r="A121" s="11" t="s">
        <v>547</v>
      </c>
      <c r="B121" s="6" t="s">
        <v>548</v>
      </c>
      <c r="C121" s="14" t="n">
        <v>40000</v>
      </c>
      <c r="D121" s="6" t="s">
        <v>529</v>
      </c>
      <c r="E121" s="8" t="s">
        <v>549</v>
      </c>
    </row>
    <row r="122" customFormat="false" ht="15" hidden="false" customHeight="true" outlineLevel="0" collapsed="false">
      <c r="A122" s="11" t="s">
        <v>550</v>
      </c>
      <c r="B122" s="6" t="s">
        <v>551</v>
      </c>
      <c r="C122" s="15" t="n">
        <v>0.05</v>
      </c>
      <c r="D122" s="6" t="s">
        <v>263</v>
      </c>
      <c r="E122" s="8" t="s">
        <v>552</v>
      </c>
    </row>
    <row r="123" customFormat="false" ht="21.75" hidden="false" customHeight="true" outlineLevel="0" collapsed="false">
      <c r="A123" s="11" t="s">
        <v>553</v>
      </c>
      <c r="B123" s="6" t="s">
        <v>554</v>
      </c>
      <c r="C123" s="15" t="n">
        <v>0</v>
      </c>
      <c r="D123" s="6" t="s">
        <v>263</v>
      </c>
      <c r="E123" s="8" t="s">
        <v>555</v>
      </c>
    </row>
    <row r="124" customFormat="false" ht="15" hidden="false" customHeight="true" outlineLevel="0" collapsed="false">
      <c r="A124" s="11" t="s">
        <v>556</v>
      </c>
      <c r="B124" s="6" t="s">
        <v>557</v>
      </c>
      <c r="C124" s="15" t="n">
        <v>0.6</v>
      </c>
      <c r="D124" s="6" t="s">
        <v>263</v>
      </c>
      <c r="E124" s="8" t="s">
        <v>558</v>
      </c>
    </row>
    <row r="125" customFormat="false" ht="21.75" hidden="false" customHeight="true" outlineLevel="0" collapsed="false">
      <c r="A125" s="11" t="s">
        <v>559</v>
      </c>
      <c r="B125" s="6" t="s">
        <v>560</v>
      </c>
      <c r="C125" s="12" t="n">
        <v>0</v>
      </c>
      <c r="D125" s="6" t="s">
        <v>523</v>
      </c>
      <c r="E125" s="8" t="s">
        <v>561</v>
      </c>
    </row>
    <row r="127" customFormat="false" ht="15" hidden="false" customHeight="true" outlineLevel="0" collapsed="false">
      <c r="A127" s="5" t="s">
        <v>562</v>
      </c>
      <c r="B127" s="5"/>
      <c r="C127" s="5"/>
      <c r="D127" s="5"/>
      <c r="E127" s="5"/>
    </row>
    <row r="128" customFormat="false" ht="15" hidden="false" customHeight="true" outlineLevel="0" collapsed="false">
      <c r="A128" s="11" t="s">
        <v>563</v>
      </c>
      <c r="B128" s="6" t="s">
        <v>564</v>
      </c>
      <c r="C128" s="12" t="n">
        <v>50000000</v>
      </c>
      <c r="D128" s="6" t="s">
        <v>565</v>
      </c>
      <c r="E128" s="8" t="s">
        <v>4</v>
      </c>
    </row>
    <row r="129" customFormat="false" ht="15" hidden="false" customHeight="true" outlineLevel="0" collapsed="false">
      <c r="A129" s="11" t="s">
        <v>566</v>
      </c>
      <c r="B129" s="6" t="s">
        <v>567</v>
      </c>
      <c r="C129" s="12" t="n">
        <v>200000</v>
      </c>
      <c r="D129" s="6" t="s">
        <v>565</v>
      </c>
      <c r="E129" s="8" t="s">
        <v>4</v>
      </c>
    </row>
    <row r="130" customFormat="false" ht="15" hidden="false" customHeight="true" outlineLevel="0" collapsed="false">
      <c r="A130" s="11" t="s">
        <v>568</v>
      </c>
      <c r="B130" s="6" t="s">
        <v>569</v>
      </c>
      <c r="C130" s="12" t="n">
        <v>400000</v>
      </c>
      <c r="D130" s="6" t="s">
        <v>565</v>
      </c>
      <c r="E130" s="8" t="s">
        <v>4</v>
      </c>
    </row>
    <row r="131" customFormat="false" ht="15" hidden="false" customHeight="true" outlineLevel="0" collapsed="false">
      <c r="A131" s="11" t="s">
        <v>570</v>
      </c>
      <c r="B131" s="6" t="s">
        <v>571</v>
      </c>
      <c r="C131" s="12" t="n">
        <v>300000</v>
      </c>
      <c r="D131" s="6" t="s">
        <v>565</v>
      </c>
      <c r="E131" s="8" t="s">
        <v>4</v>
      </c>
    </row>
    <row r="132" customFormat="false" ht="15" hidden="false" customHeight="true" outlineLevel="0" collapsed="false">
      <c r="A132" s="11" t="s">
        <v>572</v>
      </c>
      <c r="B132" s="6" t="s">
        <v>573</v>
      </c>
      <c r="C132" s="12" t="n">
        <v>2000000</v>
      </c>
      <c r="D132" s="6" t="s">
        <v>565</v>
      </c>
      <c r="E132" s="8" t="s">
        <v>4</v>
      </c>
    </row>
    <row r="133" customFormat="false" ht="15" hidden="false" customHeight="true" outlineLevel="0" collapsed="false">
      <c r="A133" s="11" t="s">
        <v>574</v>
      </c>
      <c r="B133" s="6" t="s">
        <v>575</v>
      </c>
      <c r="C133" s="20" t="n">
        <v>3000</v>
      </c>
      <c r="D133" s="6" t="s">
        <v>576</v>
      </c>
      <c r="E133" s="8" t="s">
        <v>577</v>
      </c>
    </row>
    <row r="134" customFormat="false" ht="15" hidden="false" customHeight="true" outlineLevel="0" collapsed="false">
      <c r="A134" s="11" t="s">
        <v>578</v>
      </c>
      <c r="B134" s="6" t="s">
        <v>579</v>
      </c>
      <c r="C134" s="28" t="n">
        <v>-38.5</v>
      </c>
      <c r="D134" s="6" t="s">
        <v>576</v>
      </c>
      <c r="E134" s="8" t="s">
        <v>580</v>
      </c>
    </row>
    <row r="135" customFormat="false" ht="21.75" hidden="false" customHeight="true" outlineLevel="0" collapsed="false">
      <c r="A135" s="11" t="s">
        <v>581</v>
      </c>
      <c r="B135" s="6" t="s">
        <v>582</v>
      </c>
      <c r="C135" s="20" t="n">
        <v>900</v>
      </c>
      <c r="D135" s="6" t="s">
        <v>583</v>
      </c>
      <c r="E135" s="8" t="s">
        <v>584</v>
      </c>
    </row>
    <row r="136" customFormat="false" ht="15" hidden="false" customHeight="true" outlineLevel="0" collapsed="false">
      <c r="A136" s="11" t="s">
        <v>585</v>
      </c>
      <c r="B136" s="6" t="s">
        <v>586</v>
      </c>
      <c r="C136" s="20" t="n">
        <v>640</v>
      </c>
      <c r="D136" s="6" t="s">
        <v>576</v>
      </c>
      <c r="E136" s="8" t="s">
        <v>587</v>
      </c>
    </row>
    <row r="137" customFormat="false" ht="15" hidden="false" customHeight="true" outlineLevel="0" collapsed="false">
      <c r="A137" s="11" t="s">
        <v>588</v>
      </c>
      <c r="B137" s="6" t="s">
        <v>589</v>
      </c>
      <c r="C137" s="28" t="n">
        <v>12.5</v>
      </c>
      <c r="D137" s="6" t="s">
        <v>576</v>
      </c>
      <c r="E137" s="8" t="s">
        <v>590</v>
      </c>
    </row>
    <row r="138" customFormat="false" ht="21.75" hidden="false" customHeight="true" outlineLevel="0" collapsed="false">
      <c r="A138" s="11" t="s">
        <v>591</v>
      </c>
      <c r="B138" s="6" t="s">
        <v>592</v>
      </c>
      <c r="C138" s="20" t="n">
        <v>500</v>
      </c>
      <c r="D138" s="6" t="s">
        <v>583</v>
      </c>
      <c r="E138" s="8" t="s">
        <v>593</v>
      </c>
    </row>
    <row r="139" customFormat="false" ht="15" hidden="false" customHeight="true" outlineLevel="0" collapsed="false">
      <c r="A139" s="11" t="s">
        <v>594</v>
      </c>
      <c r="B139" s="6" t="s">
        <v>595</v>
      </c>
      <c r="C139" s="20" t="n">
        <v>810</v>
      </c>
      <c r="D139" s="6" t="s">
        <v>576</v>
      </c>
      <c r="E139" s="8" t="s">
        <v>587</v>
      </c>
    </row>
    <row r="140" customFormat="false" ht="15" hidden="false" customHeight="true" outlineLevel="0" collapsed="false">
      <c r="A140" s="11" t="s">
        <v>596</v>
      </c>
      <c r="B140" s="6" t="s">
        <v>597</v>
      </c>
      <c r="C140" s="28" t="n">
        <v>-30</v>
      </c>
      <c r="D140" s="6" t="s">
        <v>576</v>
      </c>
      <c r="E140" s="8" t="s">
        <v>598</v>
      </c>
    </row>
    <row r="141" customFormat="false" ht="15" hidden="false" customHeight="true" outlineLevel="0" collapsed="false">
      <c r="A141" s="11" t="s">
        <v>599</v>
      </c>
      <c r="B141" s="6" t="s">
        <v>600</v>
      </c>
      <c r="C141" s="20" t="n">
        <v>500</v>
      </c>
      <c r="D141" s="6" t="s">
        <v>583</v>
      </c>
      <c r="E141" s="8" t="s">
        <v>601</v>
      </c>
    </row>
    <row r="142" customFormat="false" ht="15" hidden="false" customHeight="true" outlineLevel="0" collapsed="false">
      <c r="A142" s="11" t="s">
        <v>602</v>
      </c>
      <c r="B142" s="6" t="s">
        <v>603</v>
      </c>
      <c r="C142" s="20" t="n">
        <v>200</v>
      </c>
      <c r="D142" s="6" t="s">
        <v>576</v>
      </c>
      <c r="E142" s="8" t="s">
        <v>587</v>
      </c>
    </row>
    <row r="143" customFormat="false" ht="15" hidden="false" customHeight="true" outlineLevel="0" collapsed="false">
      <c r="A143" s="11" t="s">
        <v>604</v>
      </c>
      <c r="B143" s="6" t="s">
        <v>605</v>
      </c>
      <c r="C143" s="28" t="n">
        <v>-18</v>
      </c>
      <c r="D143" s="6" t="s">
        <v>576</v>
      </c>
      <c r="E143" s="8" t="s">
        <v>606</v>
      </c>
    </row>
    <row r="144" customFormat="false" ht="15" hidden="false" customHeight="true" outlineLevel="0" collapsed="false">
      <c r="A144" s="11" t="s">
        <v>607</v>
      </c>
      <c r="B144" s="6" t="s">
        <v>608</v>
      </c>
      <c r="C144" s="20" t="n">
        <v>1300</v>
      </c>
      <c r="D144" s="6" t="s">
        <v>583</v>
      </c>
      <c r="E144" s="8" t="s">
        <v>609</v>
      </c>
    </row>
    <row r="145" customFormat="false" ht="21.75" hidden="false" customHeight="true" outlineLevel="0" collapsed="false">
      <c r="A145" s="11" t="s">
        <v>610</v>
      </c>
      <c r="B145" s="6" t="s">
        <v>611</v>
      </c>
      <c r="C145" s="20" t="n">
        <v>1300000</v>
      </c>
      <c r="D145" s="6" t="s">
        <v>565</v>
      </c>
      <c r="E145" s="8" t="s">
        <v>612</v>
      </c>
    </row>
    <row r="146" customFormat="false" ht="15" hidden="false" customHeight="true" outlineLevel="0" collapsed="false">
      <c r="A146" s="11" t="s">
        <v>613</v>
      </c>
      <c r="B146" s="6" t="s">
        <v>614</v>
      </c>
      <c r="C146" s="20" t="n">
        <v>400000</v>
      </c>
      <c r="D146" s="6" t="s">
        <v>565</v>
      </c>
      <c r="E146" s="8" t="s">
        <v>84</v>
      </c>
    </row>
    <row r="147" customFormat="false" ht="15" hidden="false" customHeight="true" outlineLevel="0" collapsed="false">
      <c r="A147" s="11" t="s">
        <v>615</v>
      </c>
      <c r="B147" s="6" t="s">
        <v>616</v>
      </c>
      <c r="C147" s="12" t="n">
        <v>5265</v>
      </c>
      <c r="D147" s="6" t="s">
        <v>576</v>
      </c>
      <c r="E147" s="8" t="s">
        <v>617</v>
      </c>
    </row>
    <row r="148" customFormat="false" ht="15" hidden="false" customHeight="true" outlineLevel="0" collapsed="false">
      <c r="A148" s="11" t="s">
        <v>618</v>
      </c>
      <c r="B148" s="6" t="s">
        <v>619</v>
      </c>
      <c r="C148" s="20" t="n">
        <v>1080000</v>
      </c>
      <c r="D148" s="6" t="s">
        <v>565</v>
      </c>
      <c r="E148" s="8" t="s">
        <v>620</v>
      </c>
    </row>
    <row r="149" customFormat="false" ht="15" hidden="false" customHeight="true" outlineLevel="0" collapsed="false">
      <c r="A149" s="11" t="s">
        <v>621</v>
      </c>
      <c r="B149" s="6" t="s">
        <v>622</v>
      </c>
      <c r="C149" s="20" t="n">
        <v>430000</v>
      </c>
      <c r="D149" s="6" t="s">
        <v>565</v>
      </c>
      <c r="E149" s="8" t="s">
        <v>620</v>
      </c>
    </row>
    <row r="150" customFormat="false" ht="15" hidden="false" customHeight="true" outlineLevel="0" collapsed="false">
      <c r="A150" s="11" t="s">
        <v>623</v>
      </c>
      <c r="B150" s="6" t="s">
        <v>624</v>
      </c>
      <c r="C150" s="20" t="n">
        <v>650000</v>
      </c>
      <c r="D150" s="6" t="s">
        <v>565</v>
      </c>
      <c r="E150" s="8" t="s">
        <v>620</v>
      </c>
    </row>
    <row r="151" customFormat="false" ht="15" hidden="false" customHeight="true" outlineLevel="0" collapsed="false">
      <c r="A151" s="11" t="s">
        <v>625</v>
      </c>
      <c r="B151" s="6" t="s">
        <v>626</v>
      </c>
      <c r="C151" s="12" t="n">
        <v>750000</v>
      </c>
      <c r="D151" s="6" t="s">
        <v>565</v>
      </c>
      <c r="E151" s="8" t="s">
        <v>4</v>
      </c>
    </row>
    <row r="152" customFormat="false" ht="15" hidden="false" customHeight="true" outlineLevel="0" collapsed="false">
      <c r="A152" s="11" t="s">
        <v>627</v>
      </c>
      <c r="B152" s="6" t="s">
        <v>628</v>
      </c>
      <c r="C152" s="16" t="n">
        <v>0.2</v>
      </c>
      <c r="D152" s="6" t="s">
        <v>263</v>
      </c>
      <c r="E152" s="8" t="s">
        <v>84</v>
      </c>
    </row>
    <row r="153" customFormat="false" ht="15" hidden="false" customHeight="true" outlineLevel="0" collapsed="false">
      <c r="A153" s="11" t="s">
        <v>629</v>
      </c>
      <c r="B153" s="6" t="s">
        <v>630</v>
      </c>
      <c r="C153" s="16" t="n">
        <v>0.05</v>
      </c>
      <c r="D153" s="6" t="s">
        <v>506</v>
      </c>
      <c r="E153" s="8" t="s">
        <v>4</v>
      </c>
    </row>
    <row r="155" customFormat="false" ht="15" hidden="false" customHeight="true" outlineLevel="0" collapsed="false">
      <c r="A155" s="5" t="s">
        <v>631</v>
      </c>
      <c r="B155" s="5"/>
      <c r="C155" s="5"/>
      <c r="D155" s="5"/>
      <c r="E155" s="5"/>
    </row>
    <row r="156" customFormat="false" ht="15" hidden="false" customHeight="true" outlineLevel="0" collapsed="false">
      <c r="A156" s="11" t="s">
        <v>632</v>
      </c>
      <c r="B156" s="6" t="s">
        <v>633</v>
      </c>
      <c r="C156" s="16" t="n">
        <v>0.7</v>
      </c>
      <c r="D156" s="6" t="s">
        <v>263</v>
      </c>
      <c r="E156" s="8" t="s">
        <v>634</v>
      </c>
    </row>
    <row r="157" customFormat="false" ht="15" hidden="false" customHeight="true" outlineLevel="0" collapsed="false">
      <c r="A157" s="11" t="s">
        <v>635</v>
      </c>
      <c r="B157" s="6" t="s">
        <v>636</v>
      </c>
      <c r="C157" s="16" t="n">
        <v>0.12</v>
      </c>
      <c r="D157" s="6" t="s">
        <v>263</v>
      </c>
      <c r="E157" s="8" t="s">
        <v>637</v>
      </c>
    </row>
    <row r="158" customFormat="false" ht="15" hidden="false" customHeight="true" outlineLevel="0" collapsed="false">
      <c r="A158" s="11" t="s">
        <v>638</v>
      </c>
      <c r="B158" s="6" t="s">
        <v>639</v>
      </c>
      <c r="C158" s="12" t="n">
        <v>10</v>
      </c>
      <c r="D158" s="6" t="s">
        <v>640</v>
      </c>
      <c r="E158" s="8" t="s">
        <v>641</v>
      </c>
    </row>
    <row r="159" customFormat="false" ht="15" hidden="false" customHeight="true" outlineLevel="0" collapsed="false">
      <c r="A159" s="11" t="s">
        <v>642</v>
      </c>
      <c r="B159" s="6" t="s">
        <v>643</v>
      </c>
      <c r="C159" s="16" t="n">
        <v>0.25</v>
      </c>
      <c r="D159" s="6" t="s">
        <v>263</v>
      </c>
      <c r="E159" s="8" t="s">
        <v>644</v>
      </c>
    </row>
    <row r="160" customFormat="false" ht="15" hidden="false" customHeight="true" outlineLevel="0" collapsed="false">
      <c r="A160" s="11" t="s">
        <v>645</v>
      </c>
      <c r="B160" s="6" t="s">
        <v>646</v>
      </c>
      <c r="C160" s="12" t="n">
        <v>15</v>
      </c>
      <c r="D160" s="6" t="s">
        <v>640</v>
      </c>
      <c r="E160" s="8" t="s">
        <v>647</v>
      </c>
    </row>
    <row r="161" customFormat="false" ht="15" hidden="false" customHeight="true" outlineLevel="0" collapsed="false">
      <c r="A161" s="11" t="s">
        <v>648</v>
      </c>
      <c r="B161" s="6" t="s">
        <v>649</v>
      </c>
      <c r="C161" s="16" t="n">
        <v>0.02</v>
      </c>
      <c r="D161" s="6" t="s">
        <v>263</v>
      </c>
      <c r="E161" s="8" t="s">
        <v>650</v>
      </c>
    </row>
    <row r="162" customFormat="false" ht="15" hidden="false" customHeight="true" outlineLevel="0" collapsed="false">
      <c r="A162" s="11" t="s">
        <v>651</v>
      </c>
      <c r="B162" s="6" t="s">
        <v>652</v>
      </c>
      <c r="C162" s="16" t="n">
        <v>0.7</v>
      </c>
      <c r="D162" s="6" t="s">
        <v>263</v>
      </c>
      <c r="E162" s="8" t="s">
        <v>653</v>
      </c>
    </row>
    <row r="163" customFormat="false" ht="15" hidden="false" customHeight="true" outlineLevel="0" collapsed="false">
      <c r="A163" s="11" t="s">
        <v>654</v>
      </c>
      <c r="B163" s="6" t="s">
        <v>655</v>
      </c>
      <c r="C163" s="16" t="n">
        <v>0.85</v>
      </c>
      <c r="D163" s="6" t="s">
        <v>263</v>
      </c>
      <c r="E163" s="8" t="s">
        <v>656</v>
      </c>
    </row>
    <row r="164" customFormat="false" ht="15" hidden="false" customHeight="true" outlineLevel="0" collapsed="false">
      <c r="A164" s="11" t="s">
        <v>657</v>
      </c>
      <c r="B164" s="6" t="s">
        <v>658</v>
      </c>
      <c r="C164" s="18" t="n">
        <v>0.1</v>
      </c>
      <c r="D164" s="6" t="s">
        <v>263</v>
      </c>
      <c r="E164" s="8" t="s">
        <v>659</v>
      </c>
    </row>
    <row r="165" customFormat="false" ht="15" hidden="false" customHeight="true" outlineLevel="0" collapsed="false">
      <c r="A165" s="11" t="s">
        <v>660</v>
      </c>
      <c r="B165" s="6" t="s">
        <v>23</v>
      </c>
      <c r="C165" s="18" t="n">
        <v>0.05</v>
      </c>
      <c r="D165" s="6" t="s">
        <v>661</v>
      </c>
      <c r="E165" s="8" t="s">
        <v>662</v>
      </c>
    </row>
    <row r="167" customFormat="false" ht="15" hidden="false" customHeight="true" outlineLevel="0" collapsed="false">
      <c r="A167" s="5" t="s">
        <v>663</v>
      </c>
      <c r="B167" s="5"/>
      <c r="C167" s="5"/>
      <c r="D167" s="5"/>
      <c r="E167" s="5"/>
    </row>
    <row r="168" customFormat="false" ht="15" hidden="false" customHeight="true" outlineLevel="0" collapsed="false">
      <c r="A168" s="11" t="s">
        <v>664</v>
      </c>
      <c r="B168" s="6" t="s">
        <v>665</v>
      </c>
      <c r="C168" s="29" t="n">
        <v>1</v>
      </c>
      <c r="D168" s="6" t="s">
        <v>351</v>
      </c>
      <c r="E168" s="8" t="s">
        <v>666</v>
      </c>
    </row>
    <row r="169" customFormat="false" ht="15" hidden="false" customHeight="true" outlineLevel="0" collapsed="false">
      <c r="A169" s="11" t="s">
        <v>667</v>
      </c>
      <c r="B169" s="6" t="s">
        <v>668</v>
      </c>
      <c r="C169" s="29" t="n">
        <v>25</v>
      </c>
      <c r="D169" s="6" t="s">
        <v>308</v>
      </c>
      <c r="E169" s="8" t="s">
        <v>669</v>
      </c>
    </row>
    <row r="170" customFormat="false" ht="15" hidden="false" customHeight="true" outlineLevel="0" collapsed="false">
      <c r="A170" s="11" t="s">
        <v>670</v>
      </c>
      <c r="B170" s="6" t="s">
        <v>671</v>
      </c>
      <c r="C170" s="29" t="n">
        <v>4</v>
      </c>
      <c r="D170" s="6" t="s">
        <v>672</v>
      </c>
      <c r="E170" s="8" t="s">
        <v>673</v>
      </c>
    </row>
    <row r="171" customFormat="false" ht="21.75" hidden="false" customHeight="true" outlineLevel="0" collapsed="false">
      <c r="A171" s="11" t="s">
        <v>674</v>
      </c>
      <c r="B171" s="6" t="s">
        <v>675</v>
      </c>
      <c r="C171" s="30" t="n">
        <f aca="false">'1-Inputs'!$C$169*'1-Inputs'!$C$170</f>
        <v>100</v>
      </c>
      <c r="D171" s="6" t="s">
        <v>355</v>
      </c>
      <c r="E171" s="8" t="s">
        <v>676</v>
      </c>
    </row>
    <row r="172" customFormat="false" ht="22.35" hidden="false" customHeight="false" outlineLevel="0" collapsed="false">
      <c r="A172" s="11" t="s">
        <v>677</v>
      </c>
      <c r="B172" s="6" t="s">
        <v>678</v>
      </c>
      <c r="C172" s="29" t="n">
        <v>350</v>
      </c>
      <c r="D172" s="6" t="s">
        <v>355</v>
      </c>
      <c r="E172" s="8" t="s">
        <v>679</v>
      </c>
    </row>
    <row r="173" customFormat="false" ht="15" hidden="false" customHeight="true" outlineLevel="0" collapsed="false">
      <c r="A173" s="11" t="s">
        <v>680</v>
      </c>
      <c r="B173" s="6" t="s">
        <v>681</v>
      </c>
      <c r="C173" s="29" t="n">
        <v>1</v>
      </c>
      <c r="D173" s="6" t="s">
        <v>351</v>
      </c>
      <c r="E173" s="8" t="s">
        <v>682</v>
      </c>
    </row>
    <row r="174" customFormat="false" ht="15" hidden="false" customHeight="true" outlineLevel="0" collapsed="false">
      <c r="A174" s="11" t="s">
        <v>683</v>
      </c>
      <c r="B174" s="6" t="s">
        <v>684</v>
      </c>
      <c r="C174" s="29" t="n">
        <v>1</v>
      </c>
      <c r="D174" s="6" t="s">
        <v>351</v>
      </c>
      <c r="E174" s="8" t="s">
        <v>685</v>
      </c>
    </row>
    <row r="175" customFormat="false" ht="15" hidden="false" customHeight="true" outlineLevel="0" collapsed="false">
      <c r="A175" s="11" t="s">
        <v>686</v>
      </c>
      <c r="B175" s="6" t="s">
        <v>687</v>
      </c>
      <c r="C175" s="29" t="n">
        <v>4</v>
      </c>
      <c r="D175" s="6" t="s">
        <v>493</v>
      </c>
      <c r="E175" s="8" t="s">
        <v>688</v>
      </c>
    </row>
    <row r="176" customFormat="false" ht="15" hidden="false" customHeight="true" outlineLevel="0" collapsed="false">
      <c r="A176" s="11" t="s">
        <v>689</v>
      </c>
      <c r="B176" s="6" t="s">
        <v>690</v>
      </c>
      <c r="C176" s="29" t="n">
        <v>3</v>
      </c>
      <c r="D176" s="6" t="s">
        <v>493</v>
      </c>
      <c r="E176" s="8" t="s">
        <v>691</v>
      </c>
    </row>
    <row r="177" customFormat="false" ht="15" hidden="false" customHeight="true" outlineLevel="0" collapsed="false">
      <c r="A177" s="11" t="s">
        <v>692</v>
      </c>
      <c r="B177" s="6" t="s">
        <v>693</v>
      </c>
      <c r="C177" s="31" t="n">
        <f aca="false">'1-Inputs'!$C$40*'1-Inputs'!$C$173</f>
        <v>0.9</v>
      </c>
      <c r="D177" s="6" t="s">
        <v>263</v>
      </c>
      <c r="E177" s="8" t="s">
        <v>694</v>
      </c>
    </row>
    <row r="178" customFormat="false" ht="15" hidden="false" customHeight="true" outlineLevel="0" collapsed="false">
      <c r="A178" s="11" t="s">
        <v>695</v>
      </c>
      <c r="B178" s="6" t="s">
        <v>696</v>
      </c>
      <c r="C178" s="31" t="n">
        <f aca="false">'1-Inputs'!$C$41*'1-Inputs'!$C$173</f>
        <v>0.75</v>
      </c>
      <c r="D178" s="6" t="s">
        <v>263</v>
      </c>
      <c r="E178" s="8" t="s">
        <v>697</v>
      </c>
    </row>
    <row r="179" customFormat="false" ht="15" hidden="false" customHeight="true" outlineLevel="0" collapsed="false">
      <c r="A179" s="11" t="s">
        <v>698</v>
      </c>
      <c r="B179" s="6" t="s">
        <v>699</v>
      </c>
      <c r="C179" s="31" t="n">
        <f aca="false">'1-Inputs'!$C$42*'1-Inputs'!$C$173</f>
        <v>0.7</v>
      </c>
      <c r="D179" s="6" t="s">
        <v>263</v>
      </c>
      <c r="E179" s="8" t="s">
        <v>697</v>
      </c>
    </row>
    <row r="180" customFormat="false" ht="15" hidden="false" customHeight="true" outlineLevel="0" collapsed="false">
      <c r="A180" s="11" t="s">
        <v>700</v>
      </c>
      <c r="B180" s="6" t="s">
        <v>701</v>
      </c>
      <c r="C180" s="31" t="n">
        <f aca="false">IF('1-Inputs'!$C$174=1,'1-Inputs'!$C$44,1)</f>
        <v>0.85</v>
      </c>
      <c r="D180" s="6" t="s">
        <v>263</v>
      </c>
      <c r="E180" s="8" t="s">
        <v>702</v>
      </c>
    </row>
    <row r="181" customFormat="false" ht="15" hidden="false" customHeight="true" outlineLevel="0" collapsed="false">
      <c r="A181" s="11" t="s">
        <v>703</v>
      </c>
      <c r="B181" s="6" t="s">
        <v>704</v>
      </c>
      <c r="C181" s="31" t="n">
        <f aca="false">'1-Inputs'!$C$45*'1-Inputs'!$C$174</f>
        <v>0.8</v>
      </c>
      <c r="D181" s="6" t="s">
        <v>263</v>
      </c>
      <c r="E181" s="8" t="s">
        <v>705</v>
      </c>
    </row>
    <row r="183" customFormat="false" ht="15" hidden="false" customHeight="true" outlineLevel="0" collapsed="false">
      <c r="A183" s="11" t="s">
        <v>706</v>
      </c>
      <c r="B183" s="6" t="s">
        <v>707</v>
      </c>
      <c r="C183" s="29" t="n">
        <v>0</v>
      </c>
      <c r="D183" s="6" t="s">
        <v>351</v>
      </c>
      <c r="E183" s="8" t="s">
        <v>708</v>
      </c>
    </row>
    <row r="184" customFormat="false" ht="15" hidden="false" customHeight="true" outlineLevel="0" collapsed="false">
      <c r="A184" s="11" t="s">
        <v>709</v>
      </c>
      <c r="B184" s="6" t="s">
        <v>710</v>
      </c>
      <c r="C184" s="32" t="n">
        <v>0.15</v>
      </c>
      <c r="D184" s="6" t="s">
        <v>711</v>
      </c>
      <c r="E184" s="8" t="s">
        <v>712</v>
      </c>
    </row>
    <row r="185" customFormat="false" ht="15" hidden="false" customHeight="true" outlineLevel="0" collapsed="false">
      <c r="A185" s="11" t="s">
        <v>713</v>
      </c>
      <c r="B185" s="6" t="s">
        <v>714</v>
      </c>
      <c r="C185" s="29" t="n">
        <v>250</v>
      </c>
      <c r="D185" s="6" t="s">
        <v>355</v>
      </c>
      <c r="E185" s="8" t="s">
        <v>715</v>
      </c>
    </row>
    <row r="186" customFormat="false" ht="15" hidden="false" customHeight="true" outlineLevel="0" collapsed="false">
      <c r="A186" s="11" t="s">
        <v>716</v>
      </c>
      <c r="B186" s="6" t="s">
        <v>717</v>
      </c>
      <c r="C186" s="32" t="n">
        <v>0.15</v>
      </c>
      <c r="D186" s="6" t="s">
        <v>718</v>
      </c>
      <c r="E186" s="8" t="s">
        <v>4</v>
      </c>
    </row>
    <row r="187" customFormat="false" ht="15" hidden="false" customHeight="true" outlineLevel="0" collapsed="false">
      <c r="A187" s="11" t="s">
        <v>719</v>
      </c>
      <c r="B187" s="6" t="s">
        <v>720</v>
      </c>
      <c r="C187" s="29" t="n">
        <v>90</v>
      </c>
      <c r="D187" s="6" t="s">
        <v>355</v>
      </c>
      <c r="E187" s="8" t="s">
        <v>721</v>
      </c>
    </row>
    <row r="188" customFormat="false" ht="15" hidden="false" customHeight="true" outlineLevel="0" collapsed="false">
      <c r="A188" s="11" t="s">
        <v>722</v>
      </c>
      <c r="B188" s="6" t="s">
        <v>723</v>
      </c>
      <c r="C188" s="21" t="n">
        <f aca="false">'1-Inputs'!$C$183*'1-Inputs'!$C$173</f>
        <v>0</v>
      </c>
      <c r="D188" s="6" t="s">
        <v>351</v>
      </c>
      <c r="E188" s="8" t="s">
        <v>724</v>
      </c>
    </row>
    <row r="190" customFormat="false" ht="15" hidden="false" customHeight="true" outlineLevel="0" collapsed="false">
      <c r="A190" s="11" t="s">
        <v>725</v>
      </c>
      <c r="B190" s="6" t="s">
        <v>726</v>
      </c>
      <c r="C190" s="33" t="n">
        <v>1.25</v>
      </c>
      <c r="D190" s="6" t="s">
        <v>727</v>
      </c>
      <c r="E190" s="8" t="s">
        <v>728</v>
      </c>
    </row>
    <row r="191" customFormat="false" ht="15" hidden="false" customHeight="true" outlineLevel="0" collapsed="false">
      <c r="A191" s="11" t="s">
        <v>729</v>
      </c>
      <c r="B191" s="6" t="s">
        <v>730</v>
      </c>
      <c r="C191" s="34" t="n">
        <f aca="false">100/73</f>
        <v>1.36986301369863</v>
      </c>
      <c r="D191" s="6" t="s">
        <v>731</v>
      </c>
      <c r="E191" s="8" t="s">
        <v>732</v>
      </c>
    </row>
    <row r="193" customFormat="false" ht="15" hidden="false" customHeight="false" outlineLevel="0" collapsed="false">
      <c r="A193" s="5" t="s">
        <v>733</v>
      </c>
      <c r="B193" s="5"/>
      <c r="C193" s="5"/>
      <c r="D193" s="5"/>
      <c r="E193" s="5"/>
    </row>
    <row r="194" customFormat="false" ht="15" hidden="false" customHeight="false" outlineLevel="0" collapsed="false">
      <c r="A194" s="11" t="s">
        <v>734</v>
      </c>
      <c r="B194" s="6" t="s">
        <v>735</v>
      </c>
      <c r="C194" s="29" t="n">
        <v>1</v>
      </c>
      <c r="D194" s="6" t="s">
        <v>351</v>
      </c>
      <c r="E194" s="8" t="s">
        <v>736</v>
      </c>
    </row>
    <row r="195" customFormat="false" ht="15" hidden="false" customHeight="false" outlineLevel="0" collapsed="false">
      <c r="A195" s="11" t="s">
        <v>737</v>
      </c>
      <c r="B195" s="6" t="s">
        <v>738</v>
      </c>
      <c r="C195" s="29" t="n">
        <v>3</v>
      </c>
      <c r="D195" s="6" t="s">
        <v>739</v>
      </c>
      <c r="E195" s="8" t="s">
        <v>740</v>
      </c>
    </row>
    <row r="196" customFormat="false" ht="15" hidden="false" customHeight="false" outlineLevel="0" collapsed="false">
      <c r="A196" s="11" t="s">
        <v>741</v>
      </c>
      <c r="B196" s="6" t="s">
        <v>742</v>
      </c>
      <c r="C196" s="29" t="n">
        <v>90</v>
      </c>
      <c r="D196" s="6" t="s">
        <v>743</v>
      </c>
      <c r="E196" s="8" t="s">
        <v>744</v>
      </c>
    </row>
    <row r="197" customFormat="false" ht="15" hidden="false" customHeight="false" outlineLevel="0" collapsed="false">
      <c r="A197" s="11" t="s">
        <v>745</v>
      </c>
      <c r="B197" s="6" t="s">
        <v>746</v>
      </c>
      <c r="C197" s="35" t="n">
        <f aca="false">'1-Inputs'!$C$6/(1440/'1-Inputs'!$C$196*'1-Inputs'!$C$195)</f>
        <v>4.16666666666667</v>
      </c>
      <c r="D197" s="6" t="s">
        <v>747</v>
      </c>
      <c r="E197" s="8" t="s">
        <v>748</v>
      </c>
    </row>
    <row r="198" customFormat="false" ht="15" hidden="false" customHeight="false" outlineLevel="0" collapsed="false">
      <c r="A198" s="11" t="s">
        <v>749</v>
      </c>
      <c r="B198" s="6" t="s">
        <v>750</v>
      </c>
      <c r="C198" s="33" t="n">
        <v>4.17</v>
      </c>
      <c r="D198" s="6" t="s">
        <v>751</v>
      </c>
      <c r="E198" s="8" t="s">
        <v>752</v>
      </c>
    </row>
    <row r="199" customFormat="false" ht="15" hidden="false" customHeight="false" outlineLevel="0" collapsed="false">
      <c r="A199" s="11" t="s">
        <v>753</v>
      </c>
      <c r="B199" s="6" t="s">
        <v>754</v>
      </c>
      <c r="C199" s="32" t="n">
        <v>0.3</v>
      </c>
      <c r="D199" s="6" t="s">
        <v>263</v>
      </c>
      <c r="E199" s="8" t="s">
        <v>755</v>
      </c>
    </row>
    <row r="200" customFormat="false" ht="15" hidden="false" customHeight="false" outlineLevel="0" collapsed="false">
      <c r="A200" s="11" t="s">
        <v>756</v>
      </c>
      <c r="B200" s="6" t="s">
        <v>757</v>
      </c>
      <c r="C200" s="29" t="n">
        <v>45</v>
      </c>
      <c r="D200" s="6" t="s">
        <v>743</v>
      </c>
      <c r="E200" s="8" t="s">
        <v>758</v>
      </c>
    </row>
    <row r="201" customFormat="false" ht="15" hidden="false" customHeight="false" outlineLevel="0" collapsed="false">
      <c r="A201" s="11" t="s">
        <v>759</v>
      </c>
      <c r="B201" s="6" t="s">
        <v>760</v>
      </c>
      <c r="C201" s="35" t="n">
        <f aca="false">'1-Inputs'!$C$197*'1-Inputs'!$C$7</f>
        <v>2.91666666666667</v>
      </c>
      <c r="D201" s="6" t="s">
        <v>751</v>
      </c>
      <c r="E201" s="8" t="s">
        <v>761</v>
      </c>
    </row>
    <row r="202" customFormat="false" ht="15" hidden="false" customHeight="false" outlineLevel="0" collapsed="false">
      <c r="A202" s="11" t="s">
        <v>762</v>
      </c>
      <c r="B202" s="6" t="s">
        <v>763</v>
      </c>
      <c r="C202" s="36" t="n">
        <f aca="false">IF('1-Inputs'!$C$194=1,'1-Inputs'!$C$196,MAX('1-Inputs'!$C$200,'1-Inputs'!$C$196*('1-Inputs'!$C$199+(1-'1-Inputs'!$C$199)*'1-Inputs'!$C$201/'1-Inputs'!$C$198)))</f>
        <v>90</v>
      </c>
      <c r="D202" s="6" t="s">
        <v>743</v>
      </c>
      <c r="E202" s="8" t="s">
        <v>697</v>
      </c>
    </row>
    <row r="203" customFormat="false" ht="15" hidden="false" customHeight="false" outlineLevel="0" collapsed="false">
      <c r="A203" s="11" t="s">
        <v>764</v>
      </c>
      <c r="B203" s="6" t="s">
        <v>765</v>
      </c>
      <c r="C203" s="36" t="n">
        <f aca="false">1440/'1-Inputs'!$C$202</f>
        <v>16</v>
      </c>
      <c r="D203" s="6" t="s">
        <v>766</v>
      </c>
      <c r="E203" s="8" t="s">
        <v>697</v>
      </c>
    </row>
    <row r="204" customFormat="false" ht="15" hidden="false" customHeight="false" outlineLevel="0" collapsed="false">
      <c r="A204" s="11" t="s">
        <v>767</v>
      </c>
      <c r="B204" s="6" t="s">
        <v>768</v>
      </c>
      <c r="C204" s="36" t="n">
        <f aca="false">'1-Inputs'!$C$203*'1-Inputs'!$C$195*'1-Inputs'!$C$201</f>
        <v>140</v>
      </c>
      <c r="D204" s="6" t="s">
        <v>769</v>
      </c>
      <c r="E204" s="8" t="s">
        <v>770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0"/>
    <col collapsed="false" customWidth="true" hidden="false" outlineLevel="0" max="4" min="3" style="1" width="16"/>
    <col collapsed="false" customWidth="true" hidden="false" outlineLevel="0" max="5" min="5" style="1" width="12"/>
    <col collapsed="false" customWidth="true" hidden="false" outlineLevel="0" max="6" min="6" style="1" width="76"/>
  </cols>
  <sheetData>
    <row r="1" customFormat="false" ht="17.25" hidden="false" customHeight="true" outlineLevel="0" collapsed="false">
      <c r="A1" s="2" t="s">
        <v>771</v>
      </c>
    </row>
    <row r="2" customFormat="false" ht="15" hidden="false" customHeight="true" outlineLevel="0" collapsed="false">
      <c r="A2" s="3" t="s">
        <v>772</v>
      </c>
    </row>
    <row r="4" customFormat="false" ht="15" hidden="false" customHeight="true" outlineLevel="0" collapsed="false">
      <c r="A4" s="4" t="s">
        <v>238</v>
      </c>
      <c r="B4" s="4" t="s">
        <v>773</v>
      </c>
      <c r="C4" s="4" t="s">
        <v>774</v>
      </c>
      <c r="D4" s="4" t="s">
        <v>775</v>
      </c>
      <c r="E4" s="4" t="s">
        <v>241</v>
      </c>
      <c r="F4" s="4" t="s">
        <v>776</v>
      </c>
    </row>
    <row r="5" customFormat="false" ht="15" hidden="false" customHeight="true" outlineLevel="0" collapsed="false">
      <c r="A5" s="5" t="s">
        <v>777</v>
      </c>
      <c r="B5" s="5"/>
      <c r="C5" s="5"/>
      <c r="D5" s="5"/>
      <c r="E5" s="5"/>
      <c r="F5" s="5"/>
    </row>
    <row r="6" customFormat="false" ht="15" hidden="false" customHeight="true" outlineLevel="0" collapsed="false">
      <c r="A6" s="11" t="s">
        <v>778</v>
      </c>
      <c r="B6" s="6" t="s">
        <v>779</v>
      </c>
      <c r="C6" s="37" t="n">
        <f aca="false">'1-Inputs'!$C$204</f>
        <v>140</v>
      </c>
      <c r="D6" s="37" t="n">
        <f aca="false">C6*'1-Inputs'!$C$8</f>
        <v>140</v>
      </c>
      <c r="E6" s="6" t="s">
        <v>769</v>
      </c>
      <c r="F6" s="8" t="s">
        <v>780</v>
      </c>
    </row>
    <row r="7" customFormat="false" ht="15" hidden="false" customHeight="true" outlineLevel="0" collapsed="false">
      <c r="A7" s="11" t="s">
        <v>781</v>
      </c>
      <c r="B7" s="6" t="s">
        <v>782</v>
      </c>
      <c r="C7" s="37" t="n">
        <f aca="false">C6*'1-Inputs'!$C$9</f>
        <v>46200</v>
      </c>
      <c r="D7" s="37" t="n">
        <f aca="false">C7*'1-Inputs'!$C$8</f>
        <v>46200</v>
      </c>
      <c r="E7" s="6" t="s">
        <v>783</v>
      </c>
      <c r="F7" s="8"/>
    </row>
    <row r="8" customFormat="false" ht="15" hidden="false" customHeight="true" outlineLevel="0" collapsed="false">
      <c r="A8" s="11" t="s">
        <v>784</v>
      </c>
      <c r="B8" s="6" t="s">
        <v>785</v>
      </c>
      <c r="C8" s="37" t="n">
        <f aca="false">C6*1000</f>
        <v>140000</v>
      </c>
      <c r="D8" s="37" t="n">
        <f aca="false">C8*'1-Inputs'!$C$8</f>
        <v>140000</v>
      </c>
      <c r="E8" s="6" t="s">
        <v>786</v>
      </c>
      <c r="F8" s="8"/>
    </row>
    <row r="9" customFormat="false" ht="15" hidden="false" customHeight="true" outlineLevel="0" collapsed="false">
      <c r="A9" s="11" t="s">
        <v>787</v>
      </c>
      <c r="B9" s="6" t="s">
        <v>788</v>
      </c>
      <c r="C9" s="37" t="n">
        <f aca="false">C8*'1-Inputs'!$C$19</f>
        <v>2800</v>
      </c>
      <c r="D9" s="37" t="n">
        <f aca="false">C9*'1-Inputs'!$C$8</f>
        <v>2800</v>
      </c>
      <c r="E9" s="6" t="s">
        <v>786</v>
      </c>
      <c r="F9" s="8"/>
    </row>
    <row r="10" customFormat="false" ht="15" hidden="false" customHeight="true" outlineLevel="0" collapsed="false">
      <c r="A10" s="11" t="s">
        <v>789</v>
      </c>
      <c r="B10" s="6" t="s">
        <v>790</v>
      </c>
      <c r="C10" s="37" t="n">
        <f aca="false">C8-C9</f>
        <v>137200</v>
      </c>
      <c r="D10" s="37" t="n">
        <f aca="false">C10*'1-Inputs'!$C$8</f>
        <v>137200</v>
      </c>
      <c r="E10" s="6" t="s">
        <v>786</v>
      </c>
      <c r="F10" s="8"/>
    </row>
    <row r="12" customFormat="false" ht="15" hidden="false" customHeight="true" outlineLevel="0" collapsed="false">
      <c r="A12" s="5" t="s">
        <v>791</v>
      </c>
      <c r="B12" s="5"/>
      <c r="C12" s="5"/>
      <c r="D12" s="5"/>
      <c r="E12" s="5"/>
      <c r="F12" s="5"/>
    </row>
    <row r="13" customFormat="false" ht="15" hidden="false" customHeight="true" outlineLevel="0" collapsed="false">
      <c r="A13" s="11" t="s">
        <v>792</v>
      </c>
      <c r="B13" s="6" t="s">
        <v>262</v>
      </c>
      <c r="C13" s="37" t="n">
        <f aca="false">C10*'1-Inputs'!$C$12*(1-'1-Inputs'!$C$188*'1-Inputs'!$C$184)</f>
        <v>41160</v>
      </c>
      <c r="D13" s="37" t="n">
        <f aca="false">C13*'1-Inputs'!$C$8</f>
        <v>41160</v>
      </c>
      <c r="E13" s="6" t="s">
        <v>786</v>
      </c>
      <c r="F13" s="8" t="s">
        <v>793</v>
      </c>
    </row>
    <row r="14" customFormat="false" ht="15" hidden="false" customHeight="true" outlineLevel="0" collapsed="false">
      <c r="A14" s="11" t="s">
        <v>794</v>
      </c>
      <c r="B14" s="6" t="s">
        <v>266</v>
      </c>
      <c r="C14" s="37" t="n">
        <f aca="false">C10*'1-Inputs'!$C$13*(1-'1-Inputs'!$C$188*'1-Inputs'!$C$186)</f>
        <v>64484</v>
      </c>
      <c r="D14" s="37" t="n">
        <f aca="false">C14*'1-Inputs'!$C$8</f>
        <v>64484</v>
      </c>
      <c r="E14" s="6" t="s">
        <v>786</v>
      </c>
      <c r="F14" s="8"/>
    </row>
    <row r="15" customFormat="false" ht="15" hidden="false" customHeight="true" outlineLevel="0" collapsed="false">
      <c r="A15" s="11" t="s">
        <v>795</v>
      </c>
      <c r="B15" s="6" t="s">
        <v>180</v>
      </c>
      <c r="C15" s="37" t="n">
        <f aca="false">C10*'1-Inputs'!$C$14</f>
        <v>6860</v>
      </c>
      <c r="D15" s="37" t="n">
        <f aca="false">C15*'1-Inputs'!$C$8</f>
        <v>6860</v>
      </c>
      <c r="E15" s="6" t="s">
        <v>786</v>
      </c>
      <c r="F15" s="8"/>
    </row>
    <row r="16" customFormat="false" ht="15" hidden="false" customHeight="true" outlineLevel="0" collapsed="false">
      <c r="A16" s="11" t="s">
        <v>796</v>
      </c>
      <c r="B16" s="6" t="s">
        <v>184</v>
      </c>
      <c r="C16" s="37" t="n">
        <f aca="false">C10*'1-Inputs'!$C$15</f>
        <v>7546</v>
      </c>
      <c r="D16" s="37" t="n">
        <f aca="false">C16*'1-Inputs'!$C$8</f>
        <v>7546</v>
      </c>
      <c r="E16" s="6" t="s">
        <v>786</v>
      </c>
      <c r="F16" s="8"/>
    </row>
    <row r="17" customFormat="false" ht="15" hidden="false" customHeight="true" outlineLevel="0" collapsed="false">
      <c r="A17" s="11" t="s">
        <v>797</v>
      </c>
      <c r="B17" s="6" t="s">
        <v>798</v>
      </c>
      <c r="C17" s="37" t="n">
        <f aca="false">C10*'1-Inputs'!$C$16</f>
        <v>2744</v>
      </c>
      <c r="D17" s="37" t="n">
        <f aca="false">C17*'1-Inputs'!$C$8</f>
        <v>2744</v>
      </c>
      <c r="E17" s="6" t="s">
        <v>786</v>
      </c>
      <c r="F17" s="8"/>
    </row>
    <row r="18" customFormat="false" ht="15" hidden="false" customHeight="true" outlineLevel="0" collapsed="false">
      <c r="A18" s="11" t="s">
        <v>799</v>
      </c>
      <c r="B18" s="6" t="s">
        <v>800</v>
      </c>
      <c r="C18" s="37" t="n">
        <f aca="false">C10*'1-Inputs'!$C$18</f>
        <v>3430</v>
      </c>
      <c r="D18" s="37" t="n">
        <f aca="false">C18*'1-Inputs'!$C$8</f>
        <v>3430</v>
      </c>
      <c r="E18" s="6" t="s">
        <v>786</v>
      </c>
      <c r="F18" s="8"/>
    </row>
    <row r="20" customFormat="false" ht="15" hidden="false" customHeight="true" outlineLevel="0" collapsed="false">
      <c r="A20" s="5" t="s">
        <v>801</v>
      </c>
      <c r="B20" s="5"/>
      <c r="C20" s="5"/>
      <c r="D20" s="5"/>
      <c r="E20" s="5"/>
      <c r="F20" s="5"/>
    </row>
    <row r="21" customFormat="false" ht="15" hidden="false" customHeight="true" outlineLevel="0" collapsed="false">
      <c r="A21" s="11" t="s">
        <v>802</v>
      </c>
      <c r="B21" s="6" t="s">
        <v>803</v>
      </c>
      <c r="C21" s="37" t="n">
        <f aca="false">C13*'1-Inputs'!$C$24</f>
        <v>28530.054</v>
      </c>
      <c r="D21" s="37" t="n">
        <f aca="false">C21*'1-Inputs'!$C$8</f>
        <v>28530.054</v>
      </c>
      <c r="E21" s="6" t="s">
        <v>786</v>
      </c>
      <c r="F21" s="8"/>
    </row>
    <row r="22" customFormat="false" ht="15" hidden="false" customHeight="true" outlineLevel="0" collapsed="false">
      <c r="A22" s="11" t="s">
        <v>804</v>
      </c>
      <c r="B22" s="6" t="s">
        <v>803</v>
      </c>
      <c r="C22" s="37" t="n">
        <f aca="false">C21/'1-Inputs'!$C$28</f>
        <v>33564.7694117647</v>
      </c>
      <c r="D22" s="37" t="n">
        <f aca="false">C22*'1-Inputs'!$C$8</f>
        <v>33564.7694117647</v>
      </c>
      <c r="E22" s="6" t="s">
        <v>805</v>
      </c>
      <c r="F22" s="8"/>
    </row>
    <row r="23" customFormat="false" ht="15" hidden="false" customHeight="true" outlineLevel="0" collapsed="false">
      <c r="A23" s="11" t="s">
        <v>806</v>
      </c>
      <c r="B23" s="6" t="s">
        <v>807</v>
      </c>
      <c r="C23" s="37" t="n">
        <f aca="false">C13*'1-Inputs'!$C$25</f>
        <v>7943.88</v>
      </c>
      <c r="D23" s="37" t="n">
        <f aca="false">C23*'1-Inputs'!$C$8</f>
        <v>7943.88</v>
      </c>
      <c r="E23" s="6" t="s">
        <v>786</v>
      </c>
      <c r="F23" s="8"/>
    </row>
    <row r="24" customFormat="false" ht="15" hidden="false" customHeight="true" outlineLevel="0" collapsed="false">
      <c r="A24" s="11" t="s">
        <v>808</v>
      </c>
      <c r="B24" s="6" t="s">
        <v>809</v>
      </c>
      <c r="C24" s="37" t="n">
        <f aca="false">C13*'1-Inputs'!$C$26</f>
        <v>4249.77</v>
      </c>
      <c r="D24" s="37" t="n">
        <f aca="false">C24*'1-Inputs'!$C$8</f>
        <v>4249.77</v>
      </c>
      <c r="E24" s="6" t="s">
        <v>786</v>
      </c>
      <c r="F24" s="8"/>
    </row>
    <row r="25" customFormat="false" ht="15" hidden="false" customHeight="true" outlineLevel="0" collapsed="false">
      <c r="A25" s="11" t="s">
        <v>810</v>
      </c>
      <c r="B25" s="6" t="s">
        <v>811</v>
      </c>
      <c r="C25" s="37" t="n">
        <f aca="false">C14*'1-Inputs'!$C$27</f>
        <v>44493.96</v>
      </c>
      <c r="D25" s="37" t="n">
        <f aca="false">C25*'1-Inputs'!$C$8</f>
        <v>44493.96</v>
      </c>
      <c r="E25" s="6" t="s">
        <v>786</v>
      </c>
      <c r="F25" s="8"/>
    </row>
    <row r="26" customFormat="false" ht="21.75" hidden="false" customHeight="true" outlineLevel="0" collapsed="false">
      <c r="A26" s="11" t="s">
        <v>812</v>
      </c>
      <c r="B26" s="6" t="s">
        <v>813</v>
      </c>
      <c r="C26" s="37" t="n">
        <f aca="false">C13*(1-'1-Inputs'!$C$24-'1-Inputs'!$C$25-'1-Inputs'!$C$26)</f>
        <v>436.295999999998</v>
      </c>
      <c r="D26" s="37" t="n">
        <f aca="false">C26*'1-Inputs'!$C$8</f>
        <v>436.295999999998</v>
      </c>
      <c r="E26" s="6" t="s">
        <v>786</v>
      </c>
      <c r="F26" s="8" t="s">
        <v>814</v>
      </c>
    </row>
    <row r="27" customFormat="false" ht="15" hidden="false" customHeight="true" outlineLevel="0" collapsed="false">
      <c r="A27" s="11" t="s">
        <v>815</v>
      </c>
      <c r="B27" s="6" t="s">
        <v>816</v>
      </c>
      <c r="C27" s="37" t="n">
        <f aca="false">C14-C25</f>
        <v>19990.04</v>
      </c>
      <c r="D27" s="37" t="n">
        <f aca="false">C27*'1-Inputs'!$C$8</f>
        <v>19990.04</v>
      </c>
      <c r="E27" s="6" t="s">
        <v>786</v>
      </c>
      <c r="F27" s="8" t="s">
        <v>817</v>
      </c>
    </row>
    <row r="29" customFormat="false" ht="15" hidden="false" customHeight="true" outlineLevel="0" collapsed="false">
      <c r="A29" s="5" t="s">
        <v>818</v>
      </c>
      <c r="B29" s="5"/>
      <c r="C29" s="5"/>
      <c r="D29" s="5"/>
      <c r="E29" s="5"/>
      <c r="F29" s="5"/>
    </row>
    <row r="30" customFormat="false" ht="15" hidden="false" customHeight="true" outlineLevel="0" collapsed="false">
      <c r="A30" s="11" t="s">
        <v>819</v>
      </c>
      <c r="B30" s="6" t="s">
        <v>820</v>
      </c>
      <c r="C30" s="38" t="n">
        <f aca="false">C23*'1-Inputs'!$C$31</f>
        <v>296306.724</v>
      </c>
      <c r="D30" s="37" t="n">
        <f aca="false">C30*'1-Inputs'!$C$8</f>
        <v>296306.724</v>
      </c>
      <c r="E30" s="6" t="s">
        <v>821</v>
      </c>
      <c r="F30" s="8" t="s">
        <v>822</v>
      </c>
    </row>
    <row r="31" customFormat="false" ht="15" hidden="false" customHeight="true" outlineLevel="0" collapsed="false">
      <c r="A31" s="11" t="s">
        <v>823</v>
      </c>
      <c r="B31" s="6" t="s">
        <v>824</v>
      </c>
      <c r="C31" s="38" t="n">
        <f aca="false">C27*'1-Inputs'!$C$32</f>
        <v>219890.44</v>
      </c>
      <c r="D31" s="37" t="n">
        <f aca="false">C31*'1-Inputs'!$C$8</f>
        <v>219890.44</v>
      </c>
      <c r="E31" s="6" t="s">
        <v>821</v>
      </c>
      <c r="F31" s="8" t="s">
        <v>825</v>
      </c>
    </row>
    <row r="32" customFormat="false" ht="15" hidden="false" customHeight="true" outlineLevel="0" collapsed="false">
      <c r="A32" s="11" t="s">
        <v>826</v>
      </c>
      <c r="B32" s="6" t="s">
        <v>827</v>
      </c>
      <c r="C32" s="37" t="n">
        <f aca="false">C30+C31</f>
        <v>516197.164</v>
      </c>
      <c r="D32" s="37" t="n">
        <f aca="false">C32*'1-Inputs'!$C$8</f>
        <v>516197.164</v>
      </c>
      <c r="E32" s="6" t="s">
        <v>821</v>
      </c>
      <c r="F32" s="8"/>
    </row>
    <row r="33" customFormat="false" ht="15" hidden="false" customHeight="true" outlineLevel="0" collapsed="false">
      <c r="A33" s="11" t="s">
        <v>828</v>
      </c>
      <c r="B33" s="6" t="s">
        <v>829</v>
      </c>
      <c r="C33" s="37" t="n">
        <f aca="false">C32*'1-Inputs'!$C$34</f>
        <v>438767.5894</v>
      </c>
      <c r="D33" s="37" t="n">
        <f aca="false">C33*'1-Inputs'!$C$8</f>
        <v>438767.5894</v>
      </c>
      <c r="E33" s="6" t="s">
        <v>821</v>
      </c>
      <c r="F33" s="8" t="s">
        <v>830</v>
      </c>
    </row>
    <row r="34" customFormat="false" ht="15" hidden="false" customHeight="true" outlineLevel="0" collapsed="false">
      <c r="A34" s="11" t="s">
        <v>831</v>
      </c>
      <c r="B34" s="6" t="s">
        <v>86</v>
      </c>
      <c r="C34" s="37" t="n">
        <f aca="false">C6*'1-Inputs'!$C$33</f>
        <v>379960</v>
      </c>
      <c r="D34" s="37" t="n">
        <f aca="false">C34*'1-Inputs'!$C$8</f>
        <v>379960</v>
      </c>
      <c r="E34" s="6" t="s">
        <v>821</v>
      </c>
      <c r="F34" s="8" t="s">
        <v>832</v>
      </c>
    </row>
    <row r="35" customFormat="false" ht="15" hidden="false" customHeight="true" outlineLevel="0" collapsed="false">
      <c r="A35" s="11" t="s">
        <v>833</v>
      </c>
      <c r="B35" s="6" t="s">
        <v>834</v>
      </c>
      <c r="C35" s="39" t="n">
        <f aca="false">C33/C34</f>
        <v>1.15477310611643</v>
      </c>
      <c r="D35" s="40" t="n">
        <f aca="false">C35*'1-Inputs'!$C$8</f>
        <v>1.15477310611643</v>
      </c>
      <c r="E35" s="6" t="s">
        <v>263</v>
      </c>
      <c r="F35" s="8" t="s">
        <v>835</v>
      </c>
    </row>
    <row r="36" customFormat="false" ht="15" hidden="false" customHeight="true" outlineLevel="0" collapsed="false">
      <c r="A36" s="11" t="s">
        <v>836</v>
      </c>
      <c r="B36" s="6" t="s">
        <v>837</v>
      </c>
      <c r="C36" s="37" t="n">
        <f aca="false">MAX(0,C34-C33)</f>
        <v>0</v>
      </c>
      <c r="D36" s="37" t="n">
        <f aca="false">C36*'1-Inputs'!$C$8</f>
        <v>0</v>
      </c>
      <c r="E36" s="6" t="s">
        <v>821</v>
      </c>
      <c r="F36" s="8"/>
    </row>
    <row r="37" customFormat="false" ht="15" hidden="false" customHeight="true" outlineLevel="0" collapsed="false">
      <c r="A37" s="11" t="s">
        <v>838</v>
      </c>
      <c r="B37" s="6" t="s">
        <v>839</v>
      </c>
      <c r="C37" s="38" t="n">
        <f aca="false">(C36+'1-Inputs'!$C$35*C34)/'1-Inputs'!$C$36/'1-Inputs'!$C$34</f>
        <v>588.173374613003</v>
      </c>
      <c r="D37" s="37" t="n">
        <f aca="false">C37*'1-Inputs'!$C$8</f>
        <v>588.173374613003</v>
      </c>
      <c r="E37" s="6" t="s">
        <v>805</v>
      </c>
      <c r="F37" s="8" t="s">
        <v>840</v>
      </c>
    </row>
    <row r="38" customFormat="false" ht="15" hidden="false" customHeight="true" outlineLevel="0" collapsed="false">
      <c r="A38" s="11" t="s">
        <v>841</v>
      </c>
      <c r="B38" s="6" t="s">
        <v>842</v>
      </c>
      <c r="C38" s="37" t="n">
        <f aca="false">MAX(0,C33-C34)</f>
        <v>58807.5894</v>
      </c>
      <c r="D38" s="37" t="n">
        <f aca="false">C38*'1-Inputs'!$C$8</f>
        <v>58807.5894</v>
      </c>
      <c r="E38" s="6" t="s">
        <v>821</v>
      </c>
      <c r="F38" s="8" t="s">
        <v>843</v>
      </c>
    </row>
    <row r="39" customFormat="false" ht="15" hidden="false" customHeight="true" outlineLevel="0" collapsed="false">
      <c r="A39" s="11" t="s">
        <v>844</v>
      </c>
      <c r="B39" s="6" t="s">
        <v>845</v>
      </c>
      <c r="C39" s="40"/>
      <c r="D39" s="41"/>
      <c r="E39" s="6" t="s">
        <v>263</v>
      </c>
      <c r="F39" s="8" t="s">
        <v>846</v>
      </c>
    </row>
    <row r="41" customFormat="false" ht="15" hidden="false" customHeight="true" outlineLevel="0" collapsed="false">
      <c r="A41" s="5" t="s">
        <v>847</v>
      </c>
      <c r="B41" s="5"/>
      <c r="C41" s="5"/>
      <c r="D41" s="5"/>
      <c r="E41" s="5"/>
      <c r="F41" s="5"/>
    </row>
    <row r="42" customFormat="false" ht="21.75" hidden="false" customHeight="true" outlineLevel="0" collapsed="false">
      <c r="A42" s="11" t="s">
        <v>848</v>
      </c>
      <c r="B42" s="6" t="s">
        <v>849</v>
      </c>
      <c r="C42" s="37" t="n">
        <f aca="false">C21*'1-Inputs'!$C$9/1000+C10*'1-Inputs'!$C$17*'1-Inputs'!$C$9/1000*'1-Inputs'!$C$122*'1-Inputs'!$C$123*'1-Inputs'!$C$124</f>
        <v>9414.91782</v>
      </c>
      <c r="D42" s="37" t="n">
        <f aca="false">C42*'1-Inputs'!$C$8</f>
        <v>9414.91782</v>
      </c>
      <c r="E42" s="6" t="s">
        <v>783</v>
      </c>
      <c r="F42" s="8" t="s">
        <v>850</v>
      </c>
    </row>
    <row r="43" customFormat="false" ht="15" hidden="false" customHeight="true" outlineLevel="0" collapsed="false">
      <c r="A43" s="11" t="s">
        <v>851</v>
      </c>
      <c r="B43" s="6" t="s">
        <v>852</v>
      </c>
      <c r="C43" s="37" t="n">
        <f aca="false">(C25+C24)*'1-Inputs'!$C$180*'1-Inputs'!$C$9/1000</f>
        <v>13672.616265</v>
      </c>
      <c r="D43" s="37" t="n">
        <f aca="false">C43*'1-Inputs'!$C$8</f>
        <v>13672.616265</v>
      </c>
      <c r="E43" s="6" t="s">
        <v>783</v>
      </c>
      <c r="F43" s="8" t="s">
        <v>853</v>
      </c>
    </row>
    <row r="44" customFormat="false" ht="15" hidden="false" customHeight="true" outlineLevel="0" collapsed="false">
      <c r="A44" s="11" t="s">
        <v>854</v>
      </c>
      <c r="B44" s="6" t="s">
        <v>855</v>
      </c>
      <c r="C44" s="37" t="n">
        <f aca="false">C15*'1-Inputs'!$C$20*('1-Inputs'!$C$177+(1-'1-Inputs'!$C$177)*'1-Inputs'!$C$181)*'1-Inputs'!$C$9/1000</f>
        <v>1774.8192</v>
      </c>
      <c r="D44" s="37" t="n">
        <f aca="false">C44*'1-Inputs'!$C$8</f>
        <v>1774.8192</v>
      </c>
      <c r="E44" s="6" t="s">
        <v>783</v>
      </c>
      <c r="F44" s="8" t="s">
        <v>856</v>
      </c>
    </row>
    <row r="45" customFormat="false" ht="15" hidden="false" customHeight="true" outlineLevel="0" collapsed="false">
      <c r="A45" s="11" t="s">
        <v>857</v>
      </c>
      <c r="B45" s="6" t="s">
        <v>858</v>
      </c>
      <c r="C45" s="37" t="n">
        <f aca="false">C15*'1-Inputs'!$C$21*('1-Inputs'!$C$178+(1-'1-Inputs'!$C$178)*'1-Inputs'!$C$181)*'1-Inputs'!$C$9/1000</f>
        <v>322.5915</v>
      </c>
      <c r="D45" s="37" t="n">
        <f aca="false">C45*'1-Inputs'!$C$8</f>
        <v>322.5915</v>
      </c>
      <c r="E45" s="6" t="s">
        <v>783</v>
      </c>
      <c r="F45" s="8" t="s">
        <v>859</v>
      </c>
    </row>
    <row r="46" customFormat="false" ht="15" hidden="false" customHeight="true" outlineLevel="0" collapsed="false">
      <c r="A46" s="11" t="s">
        <v>860</v>
      </c>
      <c r="B46" s="6" t="s">
        <v>861</v>
      </c>
      <c r="C46" s="37" t="n">
        <f aca="false">C15*(1-'1-Inputs'!$C$20-'1-Inputs'!$C$21)*'1-Inputs'!$C$181*'1-Inputs'!$C$9/1000</f>
        <v>90.5519999999999</v>
      </c>
      <c r="D46" s="37" t="n">
        <f aca="false">C46*'1-Inputs'!$C$8</f>
        <v>90.5519999999999</v>
      </c>
      <c r="E46" s="6" t="s">
        <v>783</v>
      </c>
      <c r="F46" s="8"/>
    </row>
    <row r="47" customFormat="false" ht="15" hidden="false" customHeight="true" outlineLevel="0" collapsed="false">
      <c r="A47" s="11" t="s">
        <v>862</v>
      </c>
      <c r="B47" s="6" t="s">
        <v>863</v>
      </c>
      <c r="C47" s="37" t="n">
        <f aca="false">C15*'1-Inputs'!$C$9/1000-C44-C45-C46</f>
        <v>75.8373000000003</v>
      </c>
      <c r="D47" s="37" t="n">
        <f aca="false">C47*'1-Inputs'!$C$8</f>
        <v>75.8373000000003</v>
      </c>
      <c r="E47" s="6" t="s">
        <v>783</v>
      </c>
      <c r="F47" s="8" t="s">
        <v>864</v>
      </c>
    </row>
    <row r="48" customFormat="false" ht="15" hidden="false" customHeight="true" outlineLevel="0" collapsed="false">
      <c r="A48" s="11" t="s">
        <v>865</v>
      </c>
      <c r="B48" s="6" t="s">
        <v>866</v>
      </c>
      <c r="C48" s="37" t="n">
        <f aca="false">C16*'1-Inputs'!$C$179*'1-Inputs'!$C$9/1000</f>
        <v>1743.126</v>
      </c>
      <c r="D48" s="37" t="n">
        <f aca="false">C48*'1-Inputs'!$C$8</f>
        <v>1743.126</v>
      </c>
      <c r="E48" s="6" t="s">
        <v>783</v>
      </c>
      <c r="F48" s="8"/>
    </row>
    <row r="49" customFormat="false" ht="21.75" hidden="false" customHeight="true" outlineLevel="0" collapsed="false">
      <c r="A49" s="11" t="s">
        <v>867</v>
      </c>
      <c r="B49" s="6" t="s">
        <v>868</v>
      </c>
      <c r="C49" s="37" t="n">
        <f aca="false">C10*'1-Inputs'!$C$17*'1-Inputs'!$C$9/1000</f>
        <v>3622.08</v>
      </c>
      <c r="D49" s="37" t="n">
        <f aca="false">C49*'1-Inputs'!$C$8</f>
        <v>3622.08</v>
      </c>
      <c r="E49" s="6" t="s">
        <v>783</v>
      </c>
      <c r="F49" s="8" t="s">
        <v>869</v>
      </c>
    </row>
    <row r="50" customFormat="false" ht="21.75" hidden="false" customHeight="true" outlineLevel="0" collapsed="false">
      <c r="A50" s="11" t="s">
        <v>870</v>
      </c>
      <c r="B50" s="6" t="s">
        <v>871</v>
      </c>
      <c r="C50" s="37" t="n">
        <f aca="false">C26*'1-Inputs'!$C$9/1000*'1-Inputs'!$C$191*'1-Inputs'!$C$190</f>
        <v>246.53712328767</v>
      </c>
      <c r="D50" s="37" t="n">
        <f aca="false">C50*'1-Inputs'!$C$8</f>
        <v>246.53712328767</v>
      </c>
      <c r="E50" s="6" t="s">
        <v>783</v>
      </c>
      <c r="F50" s="8" t="s">
        <v>872</v>
      </c>
    </row>
    <row r="51" customFormat="false" ht="21.75" hidden="false" customHeight="true" outlineLevel="0" collapsed="false">
      <c r="A51" s="11" t="s">
        <v>873</v>
      </c>
      <c r="B51" s="6" t="s">
        <v>874</v>
      </c>
      <c r="C51" s="37" t="n">
        <f aca="false">C49*'1-Inputs'!$C$122</f>
        <v>181.104</v>
      </c>
      <c r="D51" s="37" t="n">
        <f aca="false">C51*'1-Inputs'!$C$8</f>
        <v>181.104</v>
      </c>
      <c r="E51" s="6" t="s">
        <v>783</v>
      </c>
      <c r="F51" s="8" t="s">
        <v>875</v>
      </c>
    </row>
    <row r="52" customFormat="false" ht="21.75" hidden="false" customHeight="true" outlineLevel="0" collapsed="false">
      <c r="A52" s="11" t="s">
        <v>876</v>
      </c>
      <c r="B52" s="6" t="s">
        <v>877</v>
      </c>
      <c r="C52" s="37" t="n">
        <f aca="false">C51*'1-Inputs'!$C$123</f>
        <v>0</v>
      </c>
      <c r="D52" s="37" t="n">
        <f aca="false">C52*'1-Inputs'!$C$8</f>
        <v>0</v>
      </c>
      <c r="E52" s="6" t="s">
        <v>783</v>
      </c>
      <c r="F52" s="8" t="s">
        <v>878</v>
      </c>
    </row>
    <row r="53" customFormat="false" ht="15" hidden="false" customHeight="true" outlineLevel="0" collapsed="false">
      <c r="A53" s="11" t="s">
        <v>879</v>
      </c>
      <c r="B53" s="6" t="s">
        <v>880</v>
      </c>
      <c r="C53" s="37" t="n">
        <f aca="false">C52*'1-Inputs'!$C$124</f>
        <v>0</v>
      </c>
      <c r="D53" s="37" t="n">
        <f aca="false">C53*'1-Inputs'!$C$8</f>
        <v>0</v>
      </c>
      <c r="E53" s="6" t="s">
        <v>783</v>
      </c>
      <c r="F53" s="8" t="s">
        <v>881</v>
      </c>
    </row>
    <row r="54" customFormat="false" ht="42.75" hidden="false" customHeight="true" outlineLevel="0" collapsed="false">
      <c r="A54" s="11" t="s">
        <v>882</v>
      </c>
      <c r="B54" s="6" t="s">
        <v>883</v>
      </c>
      <c r="C54" s="37" t="n">
        <f aca="false">(C49-C51)*'1-Inputs'!$C$117</f>
        <v>2683.96128</v>
      </c>
      <c r="D54" s="37" t="n">
        <f aca="false">C54*'1-Inputs'!$C$8</f>
        <v>2683.96128</v>
      </c>
      <c r="E54" s="6" t="s">
        <v>783</v>
      </c>
      <c r="F54" s="8" t="s">
        <v>884</v>
      </c>
    </row>
    <row r="55" customFormat="false" ht="15" hidden="false" customHeight="true" outlineLevel="0" collapsed="false">
      <c r="A55" s="11" t="s">
        <v>885</v>
      </c>
      <c r="B55" s="6" t="s">
        <v>886</v>
      </c>
      <c r="C55" s="37" t="n">
        <f aca="false">C49-C51-C54+C26*'1-Inputs'!$C$9/1000+C26*'1-Inputs'!$C$9/1000*56/73</f>
        <v>1011.44103123288</v>
      </c>
      <c r="D55" s="37" t="n">
        <f aca="false">C55*'1-Inputs'!$C$8</f>
        <v>1011.44103123288</v>
      </c>
      <c r="E55" s="6" t="s">
        <v>783</v>
      </c>
      <c r="F55" s="8" t="s">
        <v>887</v>
      </c>
    </row>
    <row r="56" customFormat="false" ht="21.75" hidden="false" customHeight="true" outlineLevel="0" collapsed="false">
      <c r="A56" s="11" t="s">
        <v>888</v>
      </c>
      <c r="B56" s="6" t="s">
        <v>889</v>
      </c>
      <c r="C56" s="37" t="n">
        <f aca="false">C51-C52+C47+(C9+(C25+C24)*(1-'1-Inputs'!$C$180)+C16*(1-'1-Inputs'!$C$179)+C17+C18)*'1-Inputs'!$C$9/1000+(C50-C26*'1-Inputs'!$C$9/1000*'1-Inputs'!$C$191)</f>
        <v>6427.53735965754</v>
      </c>
      <c r="D56" s="37" t="n">
        <f aca="false">C56*'1-Inputs'!$C$8</f>
        <v>6427.53735965754</v>
      </c>
      <c r="E56" s="6" t="s">
        <v>783</v>
      </c>
      <c r="F56" s="8" t="s">
        <v>890</v>
      </c>
    </row>
    <row r="58" customFormat="false" ht="15" hidden="false" customHeight="true" outlineLevel="0" collapsed="false">
      <c r="A58" s="5" t="s">
        <v>891</v>
      </c>
      <c r="B58" s="5"/>
      <c r="C58" s="5"/>
      <c r="D58" s="5"/>
      <c r="E58" s="5"/>
      <c r="F58" s="5"/>
    </row>
    <row r="59" customFormat="false" ht="15" hidden="false" customHeight="true" outlineLevel="0" collapsed="false">
      <c r="A59" s="11" t="s">
        <v>664</v>
      </c>
      <c r="B59" s="6" t="s">
        <v>892</v>
      </c>
      <c r="C59" s="42" t="n">
        <f aca="false">'1-Inputs'!$C$12+'1-Inputs'!$C$13+'1-Inputs'!$C$14+'1-Inputs'!$C$15+'1-Inputs'!$C$16+'1-Inputs'!$C$17+'1-Inputs'!$C$18-1</f>
        <v>0</v>
      </c>
      <c r="D59" s="41"/>
      <c r="E59" s="6" t="s">
        <v>351</v>
      </c>
      <c r="F59" s="8" t="s">
        <v>893</v>
      </c>
    </row>
    <row r="60" customFormat="false" ht="15" hidden="false" customHeight="true" outlineLevel="0" collapsed="false">
      <c r="A60" s="11" t="s">
        <v>680</v>
      </c>
      <c r="B60" s="6" t="s">
        <v>894</v>
      </c>
      <c r="C60" s="37" t="n">
        <f aca="false">C8*'1-Inputs'!$C$9/1000+C50</f>
        <v>46446.5371232877</v>
      </c>
      <c r="D60" s="37" t="n">
        <f aca="false">C60*'1-Inputs'!$C$8</f>
        <v>46446.5371232877</v>
      </c>
      <c r="E60" s="6" t="s">
        <v>783</v>
      </c>
      <c r="F60" s="8"/>
    </row>
    <row r="61" customFormat="false" ht="15" hidden="false" customHeight="true" outlineLevel="0" collapsed="false">
      <c r="A61" s="11" t="s">
        <v>683</v>
      </c>
      <c r="B61" s="6" t="s">
        <v>895</v>
      </c>
      <c r="C61" s="37" t="n">
        <f aca="false">C42+(C23+C27)*'1-Inputs'!$C$9/1000+C52*(1-'1-Inputs'!$C$124)+C43+C44+C45+C46+C48+C54+C55+C56+C92+C93+C94</f>
        <v>46446.5371232877</v>
      </c>
      <c r="D61" s="37" t="n">
        <f aca="false">C61*'1-Inputs'!$C$8</f>
        <v>46446.5371232877</v>
      </c>
      <c r="E61" s="6" t="s">
        <v>783</v>
      </c>
      <c r="F61" s="8"/>
    </row>
    <row r="62" customFormat="false" ht="21.75" hidden="false" customHeight="true" outlineLevel="0" collapsed="false">
      <c r="A62" s="11" t="s">
        <v>686</v>
      </c>
      <c r="B62" s="6" t="s">
        <v>896</v>
      </c>
      <c r="C62" s="43" t="n">
        <f aca="false">C60-C61</f>
        <v>0</v>
      </c>
      <c r="D62" s="44" t="n">
        <f aca="false">C62*'1-Inputs'!$C$8</f>
        <v>0</v>
      </c>
      <c r="E62" s="6" t="s">
        <v>783</v>
      </c>
      <c r="F62" s="8" t="s">
        <v>897</v>
      </c>
    </row>
    <row r="64" customFormat="false" ht="15" hidden="false" customHeight="true" outlineLevel="0" collapsed="false">
      <c r="A64" s="5" t="s">
        <v>898</v>
      </c>
      <c r="B64" s="5"/>
      <c r="C64" s="5"/>
      <c r="D64" s="5"/>
      <c r="E64" s="5"/>
      <c r="F64" s="5"/>
    </row>
    <row r="65" customFormat="false" ht="15" hidden="false" customHeight="true" outlineLevel="0" collapsed="false">
      <c r="A65" s="11"/>
      <c r="B65" s="6" t="s">
        <v>899</v>
      </c>
      <c r="C65" s="37"/>
      <c r="D65" s="41"/>
      <c r="E65" s="6"/>
      <c r="F65" s="8" t="s">
        <v>900</v>
      </c>
    </row>
    <row r="66" customFormat="false" ht="21.75" hidden="false" customHeight="true" outlineLevel="0" collapsed="false">
      <c r="A66" s="11" t="s">
        <v>290</v>
      </c>
      <c r="B66" s="6" t="s">
        <v>901</v>
      </c>
      <c r="C66" s="45" t="n">
        <f aca="false">C13*'1-Inputs'!$C$93*3.667*'1-Inputs'!$C$9/1000</f>
        <v>42685.5653532</v>
      </c>
      <c r="D66" s="37" t="n">
        <f aca="false">C66*'1-Inputs'!$C$8</f>
        <v>42685.5653532</v>
      </c>
      <c r="E66" s="6" t="s">
        <v>902</v>
      </c>
      <c r="F66" s="8" t="s">
        <v>903</v>
      </c>
    </row>
    <row r="67" customFormat="false" ht="15" hidden="false" customHeight="true" outlineLevel="0" collapsed="false">
      <c r="A67" s="11" t="s">
        <v>293</v>
      </c>
      <c r="B67" s="6" t="s">
        <v>904</v>
      </c>
      <c r="C67" s="37" t="n">
        <f aca="false">C14*'1-Inputs'!$C$94*3.667*'1-Inputs'!$C$9/1000</f>
        <v>35114.729958</v>
      </c>
      <c r="D67" s="37" t="n">
        <f aca="false">C67*'1-Inputs'!$C$8</f>
        <v>35114.729958</v>
      </c>
      <c r="E67" s="6" t="s">
        <v>902</v>
      </c>
      <c r="F67" s="8" t="s">
        <v>905</v>
      </c>
    </row>
    <row r="69" customFormat="false" ht="15" hidden="false" customHeight="true" outlineLevel="0" collapsed="false">
      <c r="A69" s="11"/>
      <c r="B69" s="6" t="s">
        <v>906</v>
      </c>
      <c r="C69" s="37"/>
      <c r="D69" s="41"/>
      <c r="E69" s="6"/>
      <c r="F69" s="8" t="s">
        <v>907</v>
      </c>
    </row>
    <row r="70" customFormat="false" ht="15" hidden="false" customHeight="true" outlineLevel="0" collapsed="false">
      <c r="A70" s="11" t="s">
        <v>296</v>
      </c>
      <c r="B70" s="6" t="s">
        <v>908</v>
      </c>
      <c r="C70" s="37" t="n">
        <f aca="false">C23*'1-Inputs'!$C$95*3.667*'1-Inputs'!$C$9/1000</f>
        <v>7690.37490144</v>
      </c>
      <c r="D70" s="37" t="n">
        <f aca="false">C70*'1-Inputs'!$C$8</f>
        <v>7690.37490144</v>
      </c>
      <c r="E70" s="6" t="s">
        <v>902</v>
      </c>
      <c r="F70" s="8" t="s">
        <v>909</v>
      </c>
    </row>
    <row r="71" customFormat="false" ht="15" hidden="false" customHeight="true" outlineLevel="0" collapsed="false">
      <c r="A71" s="11" t="s">
        <v>299</v>
      </c>
      <c r="B71" s="6" t="s">
        <v>910</v>
      </c>
      <c r="C71" s="37" t="n">
        <f aca="false">C37*'1-Inputs'!$C$9*'1-Inputs'!$C$99/1000</f>
        <v>520.18053250774</v>
      </c>
      <c r="D71" s="37" t="n">
        <f aca="false">C71*'1-Inputs'!$C$8</f>
        <v>520.18053250774</v>
      </c>
      <c r="E71" s="6" t="s">
        <v>902</v>
      </c>
      <c r="F71" s="8"/>
    </row>
    <row r="72" customFormat="false" ht="15" hidden="false" customHeight="true" outlineLevel="0" collapsed="false">
      <c r="A72" s="11" t="s">
        <v>301</v>
      </c>
      <c r="B72" s="6" t="s">
        <v>911</v>
      </c>
      <c r="C72" s="46" t="n">
        <f aca="false">C70+C71</f>
        <v>8210.55543394774</v>
      </c>
      <c r="D72" s="37" t="n">
        <f aca="false">C72*'1-Inputs'!$C$8</f>
        <v>8210.55543394774</v>
      </c>
      <c r="E72" s="6" t="s">
        <v>902</v>
      </c>
      <c r="F72" s="8" t="s">
        <v>912</v>
      </c>
    </row>
    <row r="73" customFormat="false" ht="21.75" hidden="false" customHeight="true" outlineLevel="0" collapsed="false">
      <c r="A73" s="11" t="s">
        <v>913</v>
      </c>
      <c r="B73" s="6" t="s">
        <v>914</v>
      </c>
      <c r="C73" s="47" t="n">
        <f aca="false">C72/C7</f>
        <v>0.177717650085449</v>
      </c>
      <c r="D73" s="41"/>
      <c r="E73" s="6" t="s">
        <v>456</v>
      </c>
      <c r="F73" s="8" t="s">
        <v>915</v>
      </c>
    </row>
    <row r="75" customFormat="false" ht="15" hidden="false" customHeight="true" outlineLevel="0" collapsed="false">
      <c r="A75" s="11"/>
      <c r="B75" s="6" t="s">
        <v>916</v>
      </c>
      <c r="C75" s="37"/>
      <c r="D75" s="41"/>
      <c r="E75" s="6"/>
      <c r="F75" s="8" t="s">
        <v>917</v>
      </c>
    </row>
    <row r="76" customFormat="false" ht="15" hidden="false" customHeight="true" outlineLevel="0" collapsed="false">
      <c r="A76" s="11" t="s">
        <v>918</v>
      </c>
      <c r="B76" s="6" t="s">
        <v>919</v>
      </c>
      <c r="C76" s="37" t="n">
        <f aca="false">C42*'1-Inputs'!$C$98</f>
        <v>29186.245242</v>
      </c>
      <c r="D76" s="37" t="n">
        <f aca="false">C76*'1-Inputs'!$C$8</f>
        <v>29186.245242</v>
      </c>
      <c r="E76" s="6" t="s">
        <v>902</v>
      </c>
      <c r="F76" s="8"/>
    </row>
    <row r="77" customFormat="false" ht="15" hidden="false" customHeight="true" outlineLevel="0" collapsed="false">
      <c r="A77" s="11" t="s">
        <v>920</v>
      </c>
      <c r="B77" s="6" t="s">
        <v>921</v>
      </c>
      <c r="C77" s="37" t="n">
        <f aca="false">C24*'1-Inputs'!$C$180*'1-Inputs'!$C$96*3.667*'1-Inputs'!$C$9/1000</f>
        <v>3497.028638796</v>
      </c>
      <c r="D77" s="37" t="n">
        <f aca="false">C77*'1-Inputs'!$C$8</f>
        <v>3497.028638796</v>
      </c>
      <c r="E77" s="6" t="s">
        <v>902</v>
      </c>
      <c r="F77" s="8" t="s">
        <v>922</v>
      </c>
    </row>
    <row r="78" customFormat="false" ht="15" hidden="false" customHeight="true" outlineLevel="0" collapsed="false">
      <c r="A78" s="11" t="s">
        <v>923</v>
      </c>
      <c r="B78" s="6" t="s">
        <v>924</v>
      </c>
      <c r="C78" s="37" t="n">
        <f aca="false">C24*(1-'1-Inputs'!$C$180)*'1-Inputs'!$C$96*3.667*'1-Inputs'!$C$9/1000</f>
        <v>617.122700964</v>
      </c>
      <c r="D78" s="37" t="n">
        <f aca="false">C78*'1-Inputs'!$C$8</f>
        <v>617.122700964</v>
      </c>
      <c r="E78" s="6" t="s">
        <v>902</v>
      </c>
      <c r="F78" s="8" t="s">
        <v>925</v>
      </c>
    </row>
    <row r="79" customFormat="false" ht="15" hidden="false" customHeight="true" outlineLevel="0" collapsed="false">
      <c r="A79" s="11" t="s">
        <v>926</v>
      </c>
      <c r="B79" s="6" t="s">
        <v>927</v>
      </c>
      <c r="C79" s="37" t="n">
        <f aca="false">C70+C76+C77+C78</f>
        <v>40990.7714832</v>
      </c>
      <c r="D79" s="37" t="n">
        <f aca="false">C79*'1-Inputs'!$C$8</f>
        <v>40990.7714832</v>
      </c>
      <c r="E79" s="6" t="s">
        <v>902</v>
      </c>
      <c r="F79" s="8" t="s">
        <v>928</v>
      </c>
    </row>
    <row r="80" customFormat="false" ht="21.75" hidden="false" customHeight="true" outlineLevel="0" collapsed="false">
      <c r="A80" s="11" t="s">
        <v>929</v>
      </c>
      <c r="B80" s="6" t="s">
        <v>930</v>
      </c>
      <c r="C80" s="40" t="n">
        <f aca="false">C79/C66-1</f>
        <v>-0.0397041448549762</v>
      </c>
      <c r="D80" s="41"/>
      <c r="E80" s="6" t="s">
        <v>263</v>
      </c>
      <c r="F80" s="8" t="s">
        <v>931</v>
      </c>
    </row>
    <row r="82" customFormat="false" ht="15" hidden="false" customHeight="true" outlineLevel="0" collapsed="false">
      <c r="A82" s="11"/>
      <c r="B82" s="6" t="s">
        <v>932</v>
      </c>
      <c r="C82" s="37"/>
      <c r="D82" s="41"/>
      <c r="E82" s="6"/>
      <c r="F82" s="8" t="s">
        <v>933</v>
      </c>
    </row>
    <row r="83" customFormat="false" ht="15" hidden="false" customHeight="true" outlineLevel="0" collapsed="false">
      <c r="A83" s="11" t="s">
        <v>934</v>
      </c>
      <c r="B83" s="6" t="s">
        <v>935</v>
      </c>
      <c r="C83" s="37" t="n">
        <f aca="false">C42*'1-Inputs'!$C$100</f>
        <v>404841.46626</v>
      </c>
      <c r="D83" s="37" t="n">
        <f aca="false">C83*'1-Inputs'!$C$8</f>
        <v>404841.46626</v>
      </c>
      <c r="E83" s="6" t="s">
        <v>936</v>
      </c>
      <c r="F83" s="8"/>
    </row>
    <row r="84" customFormat="false" ht="15" hidden="false" customHeight="true" outlineLevel="0" collapsed="false">
      <c r="A84" s="11" t="s">
        <v>937</v>
      </c>
      <c r="B84" s="6" t="s">
        <v>938</v>
      </c>
      <c r="C84" s="37" t="n">
        <f aca="false">(C25*'1-Inputs'!$C$180*'1-Inputs'!$C$9*'1-Inputs'!$C$37+C24*'1-Inputs'!$C$180*'1-Inputs'!$C$9*'1-Inputs'!$C$101)/1000</f>
        <v>341815.406625</v>
      </c>
      <c r="D84" s="37" t="n">
        <f aca="false">C84*'1-Inputs'!$C$8</f>
        <v>341815.406625</v>
      </c>
      <c r="E84" s="6" t="s">
        <v>936</v>
      </c>
      <c r="F84" s="8"/>
    </row>
    <row r="85" customFormat="false" ht="15" hidden="false" customHeight="true" outlineLevel="0" collapsed="false">
      <c r="A85" s="11" t="s">
        <v>939</v>
      </c>
      <c r="B85" s="6" t="s">
        <v>940</v>
      </c>
      <c r="C85" s="37" t="n">
        <f aca="false">C83+C84</f>
        <v>746656.872885</v>
      </c>
      <c r="D85" s="37" t="n">
        <f aca="false">C85*'1-Inputs'!$C$8</f>
        <v>746656.872885</v>
      </c>
      <c r="E85" s="6" t="s">
        <v>936</v>
      </c>
      <c r="F85" s="8"/>
    </row>
    <row r="86" customFormat="false" ht="15" hidden="false" customHeight="true" outlineLevel="0" collapsed="false">
      <c r="A86" s="11" t="s">
        <v>941</v>
      </c>
      <c r="B86" s="6" t="s">
        <v>942</v>
      </c>
      <c r="C86" s="48" t="n">
        <f aca="false">C85/C7</f>
        <v>16.161404175</v>
      </c>
      <c r="D86" s="41"/>
      <c r="E86" s="6" t="s">
        <v>485</v>
      </c>
      <c r="F86" s="8"/>
    </row>
    <row r="88" customFormat="false" ht="15" hidden="false" customHeight="true" outlineLevel="0" collapsed="false">
      <c r="A88" s="11"/>
      <c r="B88" s="6" t="s">
        <v>943</v>
      </c>
      <c r="C88" s="37"/>
      <c r="D88" s="41"/>
      <c r="E88" s="6"/>
      <c r="F88" s="8"/>
    </row>
    <row r="89" customFormat="false" ht="15" hidden="false" customHeight="true" outlineLevel="0" collapsed="false">
      <c r="A89" s="11" t="s">
        <v>944</v>
      </c>
      <c r="B89" s="6" t="s">
        <v>945</v>
      </c>
      <c r="C89" s="46" t="n">
        <f aca="false">C7*'1-Inputs'!$C$91</f>
        <v>0</v>
      </c>
      <c r="D89" s="37" t="n">
        <f aca="false">C89*'1-Inputs'!$C$8</f>
        <v>0</v>
      </c>
      <c r="E89" s="6" t="s">
        <v>902</v>
      </c>
      <c r="F89" s="8" t="s">
        <v>946</v>
      </c>
    </row>
    <row r="91" customFormat="false" ht="15" hidden="false" customHeight="true" outlineLevel="0" collapsed="false">
      <c r="A91" s="5" t="s">
        <v>947</v>
      </c>
      <c r="B91" s="5"/>
      <c r="C91" s="5"/>
      <c r="D91" s="5"/>
      <c r="E91" s="5"/>
      <c r="F91" s="5"/>
    </row>
    <row r="92" customFormat="false" ht="15" hidden="false" customHeight="true" outlineLevel="0" collapsed="false">
      <c r="A92" s="11" t="s">
        <v>948</v>
      </c>
      <c r="B92" s="6" t="s">
        <v>949</v>
      </c>
      <c r="C92" s="37" t="n">
        <f aca="false">C10*'1-Inputs'!$C$12*'1-Inputs'!$C$188*'1-Inputs'!$C$184*'1-Inputs'!$C$9/1000</f>
        <v>0</v>
      </c>
      <c r="D92" s="37" t="n">
        <f aca="false">C92*'1-Inputs'!$C$8</f>
        <v>0</v>
      </c>
      <c r="E92" s="6" t="s">
        <v>783</v>
      </c>
      <c r="F92" s="8" t="s">
        <v>950</v>
      </c>
    </row>
    <row r="93" customFormat="false" ht="15" hidden="false" customHeight="true" outlineLevel="0" collapsed="false">
      <c r="A93" s="11" t="s">
        <v>951</v>
      </c>
      <c r="B93" s="6" t="s">
        <v>952</v>
      </c>
      <c r="C93" s="37" t="n">
        <f aca="false">C10*'1-Inputs'!$C$13*'1-Inputs'!$C$188*'1-Inputs'!$C$186*'1-Inputs'!$C$9/1000</f>
        <v>0</v>
      </c>
      <c r="D93" s="37" t="n">
        <f aca="false">C93*'1-Inputs'!$C$8</f>
        <v>0</v>
      </c>
      <c r="E93" s="6" t="s">
        <v>783</v>
      </c>
      <c r="F93" s="8" t="s">
        <v>950</v>
      </c>
    </row>
    <row r="94" customFormat="false" ht="15" hidden="false" customHeight="true" outlineLevel="0" collapsed="false">
      <c r="A94" s="11" t="s">
        <v>953</v>
      </c>
      <c r="B94" s="6" t="s">
        <v>954</v>
      </c>
      <c r="C94" s="37" t="n">
        <f aca="false">C26*'1-Inputs'!$C$9/1000*44/73</f>
        <v>86.7810673972599</v>
      </c>
      <c r="D94" s="37" t="n">
        <f aca="false">C94*'1-Inputs'!$C$8</f>
        <v>86.7810673972599</v>
      </c>
      <c r="E94" s="6" t="s">
        <v>783</v>
      </c>
      <c r="F94" s="8" t="s">
        <v>955</v>
      </c>
    </row>
    <row r="95" customFormat="false" ht="15" hidden="false" customHeight="true" outlineLevel="0" collapsed="false">
      <c r="A95" s="11" t="s">
        <v>956</v>
      </c>
      <c r="B95" s="6" t="s">
        <v>957</v>
      </c>
      <c r="C95" s="37" t="n">
        <f aca="false">C26*'1-Inputs'!$C$9/1000*'1-Inputs'!$C$191</f>
        <v>197.229698630136</v>
      </c>
      <c r="D95" s="37" t="n">
        <f aca="false">C95*'1-Inputs'!$C$8</f>
        <v>197.229698630136</v>
      </c>
      <c r="E95" s="6" t="s">
        <v>783</v>
      </c>
      <c r="F95" s="8" t="s">
        <v>958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0"/>
    <col collapsed="false" customWidth="true" hidden="false" outlineLevel="0" max="3" min="3" style="1" width="18"/>
    <col collapsed="false" customWidth="true" hidden="false" outlineLevel="0" max="4" min="4" style="1" width="12"/>
    <col collapsed="false" customWidth="true" hidden="false" outlineLevel="0" max="5" min="5" style="1" width="80"/>
  </cols>
  <sheetData>
    <row r="1" customFormat="false" ht="17.25" hidden="false" customHeight="true" outlineLevel="0" collapsed="false">
      <c r="A1" s="2" t="s">
        <v>959</v>
      </c>
    </row>
    <row r="4" customFormat="false" ht="15" hidden="false" customHeight="true" outlineLevel="0" collapsed="false">
      <c r="A4" s="4" t="s">
        <v>238</v>
      </c>
      <c r="B4" s="4" t="s">
        <v>3</v>
      </c>
      <c r="C4" s="4" t="s">
        <v>960</v>
      </c>
      <c r="D4" s="4" t="s">
        <v>961</v>
      </c>
      <c r="E4" s="4" t="s">
        <v>776</v>
      </c>
    </row>
    <row r="5" customFormat="false" ht="15" hidden="false" customHeight="true" outlineLevel="0" collapsed="false">
      <c r="A5" s="5" t="s">
        <v>962</v>
      </c>
      <c r="B5" s="5"/>
      <c r="C5" s="5"/>
      <c r="D5" s="5"/>
      <c r="E5" s="5"/>
    </row>
    <row r="6" customFormat="false" ht="15" hidden="false" customHeight="true" outlineLevel="0" collapsed="false">
      <c r="A6" s="11" t="s">
        <v>963</v>
      </c>
      <c r="B6" s="6" t="s">
        <v>564</v>
      </c>
      <c r="C6" s="37" t="n">
        <f aca="false">'1-Inputs'!$C$128*'1-Inputs'!$C$8</f>
        <v>50000000</v>
      </c>
      <c r="D6" s="49" t="n">
        <f aca="false">C6/$C$31</f>
        <v>0.780521310183071</v>
      </c>
      <c r="E6" s="8" t="s">
        <v>66</v>
      </c>
    </row>
    <row r="7" customFormat="false" ht="15" hidden="false" customHeight="true" outlineLevel="0" collapsed="false">
      <c r="A7" s="11" t="s">
        <v>964</v>
      </c>
      <c r="B7" s="6" t="s">
        <v>567</v>
      </c>
      <c r="C7" s="37" t="n">
        <f aca="false">'1-Inputs'!$C$129*'1-Inputs'!$C$8</f>
        <v>200000</v>
      </c>
      <c r="D7" s="49" t="n">
        <f aca="false">C7/$C$31</f>
        <v>0.00312208524073229</v>
      </c>
      <c r="E7" s="8" t="s">
        <v>66</v>
      </c>
    </row>
    <row r="8" customFormat="false" ht="15" hidden="false" customHeight="true" outlineLevel="0" collapsed="false">
      <c r="A8" s="11" t="s">
        <v>965</v>
      </c>
      <c r="B8" s="6" t="s">
        <v>569</v>
      </c>
      <c r="C8" s="37" t="n">
        <f aca="false">'1-Inputs'!$C$130*'1-Inputs'!$C$8</f>
        <v>400000</v>
      </c>
      <c r="D8" s="49" t="n">
        <f aca="false">C8/$C$31</f>
        <v>0.00624417048146457</v>
      </c>
      <c r="E8" s="8" t="s">
        <v>66</v>
      </c>
    </row>
    <row r="9" customFormat="false" ht="15" hidden="false" customHeight="true" outlineLevel="0" collapsed="false">
      <c r="A9" s="11" t="s">
        <v>966</v>
      </c>
      <c r="B9" s="6" t="s">
        <v>571</v>
      </c>
      <c r="C9" s="37" t="n">
        <f aca="false">'1-Inputs'!$C$131*'1-Inputs'!$C$8</f>
        <v>300000</v>
      </c>
      <c r="D9" s="49" t="n">
        <f aca="false">C9/$C$31</f>
        <v>0.00468312786109843</v>
      </c>
      <c r="E9" s="8" t="s">
        <v>66</v>
      </c>
    </row>
    <row r="10" customFormat="false" ht="15" hidden="false" customHeight="true" outlineLevel="0" collapsed="false">
      <c r="A10" s="11" t="s">
        <v>967</v>
      </c>
      <c r="B10" s="6" t="s">
        <v>573</v>
      </c>
      <c r="C10" s="37" t="n">
        <f aca="false">'1-Inputs'!$C$132*'1-Inputs'!$C$8</f>
        <v>2000000</v>
      </c>
      <c r="D10" s="49" t="n">
        <f aca="false">C10/$C$31</f>
        <v>0.0312208524073229</v>
      </c>
      <c r="E10" s="8" t="s">
        <v>66</v>
      </c>
    </row>
    <row r="11" customFormat="false" ht="15" hidden="false" customHeight="true" outlineLevel="0" collapsed="false">
      <c r="A11" s="11" t="s">
        <v>968</v>
      </c>
      <c r="B11" s="6" t="s">
        <v>969</v>
      </c>
      <c r="C11" s="37" t="n">
        <f aca="false">'1-Inputs'!$C$148*'1-Inputs'!$C$8*'1-Inputs'!$C$173</f>
        <v>1080000</v>
      </c>
      <c r="D11" s="49" t="n">
        <f aca="false">C11/$C$31</f>
        <v>0.0168592602999543</v>
      </c>
      <c r="E11" s="8" t="s">
        <v>970</v>
      </c>
    </row>
    <row r="12" customFormat="false" ht="15" hidden="false" customHeight="true" outlineLevel="0" collapsed="false">
      <c r="A12" s="11" t="s">
        <v>971</v>
      </c>
      <c r="B12" s="6" t="s">
        <v>972</v>
      </c>
      <c r="C12" s="37" t="n">
        <f aca="false">'1-Inputs'!$C$149*'1-Inputs'!$C$8*'1-Inputs'!$C$174</f>
        <v>430000</v>
      </c>
      <c r="D12" s="49" t="n">
        <f aca="false">C12/$C$31</f>
        <v>0.00671248326757441</v>
      </c>
      <c r="E12" s="8" t="s">
        <v>973</v>
      </c>
    </row>
    <row r="13" customFormat="false" ht="15" hidden="false" customHeight="true" outlineLevel="0" collapsed="false">
      <c r="A13" s="11" t="s">
        <v>974</v>
      </c>
      <c r="B13" s="6" t="s">
        <v>975</v>
      </c>
      <c r="C13" s="37" t="n">
        <f aca="false">'1-Inputs'!$C$150*'1-Inputs'!$C$8</f>
        <v>650000</v>
      </c>
      <c r="D13" s="49" t="n">
        <f aca="false">C13/$C$31</f>
        <v>0.0101467770323799</v>
      </c>
      <c r="E13" s="8" t="s">
        <v>976</v>
      </c>
    </row>
    <row r="14" customFormat="false" ht="21.75" hidden="false" customHeight="true" outlineLevel="0" collapsed="false">
      <c r="A14" s="11" t="s">
        <v>977</v>
      </c>
      <c r="B14" s="6" t="s">
        <v>978</v>
      </c>
      <c r="C14" s="38" t="n">
        <f aca="false">250000*'1-Inputs'!$C$8</f>
        <v>250000</v>
      </c>
      <c r="D14" s="49" t="n">
        <f aca="false">C14/$C$31</f>
        <v>0.00390260655091536</v>
      </c>
      <c r="E14" s="8" t="s">
        <v>979</v>
      </c>
    </row>
    <row r="15" customFormat="false" ht="15" hidden="false" customHeight="true" outlineLevel="0" collapsed="false">
      <c r="A15" s="11"/>
      <c r="B15" s="11" t="s">
        <v>980</v>
      </c>
      <c r="C15" s="50" t="n">
        <f aca="false">SUM(C5:C14)</f>
        <v>55310000</v>
      </c>
      <c r="D15" s="49" t="n">
        <f aca="false">C15/$C$31</f>
        <v>0.863412673324513</v>
      </c>
      <c r="E15" s="8"/>
    </row>
    <row r="17" customFormat="false" ht="15" hidden="false" customHeight="true" outlineLevel="0" collapsed="false">
      <c r="A17" s="5" t="s">
        <v>981</v>
      </c>
      <c r="B17" s="5"/>
      <c r="C17" s="5"/>
      <c r="D17" s="5"/>
      <c r="E17" s="5"/>
    </row>
    <row r="18" customFormat="false" ht="15" hidden="false" customHeight="true" outlineLevel="0" collapsed="false">
      <c r="A18" s="11" t="s">
        <v>982</v>
      </c>
      <c r="B18" s="6" t="s">
        <v>983</v>
      </c>
      <c r="C18" s="37" t="n">
        <f aca="false">MAX(2600,'1-Inputs'!$C$133+'1-Inputs'!$C$134*('1-Inputs'!$C$8-1))*'1-Inputs'!$C$8</f>
        <v>3000</v>
      </c>
      <c r="D18" s="41"/>
      <c r="E18" s="8" t="s">
        <v>984</v>
      </c>
    </row>
    <row r="19" customFormat="false" ht="15" hidden="false" customHeight="true" outlineLevel="0" collapsed="false">
      <c r="A19" s="11" t="s">
        <v>985</v>
      </c>
      <c r="B19" s="6" t="s">
        <v>986</v>
      </c>
      <c r="C19" s="38" t="n">
        <f aca="false">C18*'1-Inputs'!$C$135</f>
        <v>2700000</v>
      </c>
      <c r="D19" s="49" t="n">
        <f aca="false">C19/$C$31</f>
        <v>0.0421481507498859</v>
      </c>
      <c r="E19" s="8" t="s">
        <v>987</v>
      </c>
    </row>
    <row r="20" customFormat="false" ht="15" hidden="false" customHeight="true" outlineLevel="0" collapsed="false">
      <c r="A20" s="11" t="s">
        <v>988</v>
      </c>
      <c r="B20" s="6" t="s">
        <v>989</v>
      </c>
      <c r="C20" s="37" t="n">
        <f aca="false">('1-Inputs'!$C$136+'1-Inputs'!$C$137*('1-Inputs'!$C$8-1))*'1-Inputs'!$C$8</f>
        <v>640</v>
      </c>
      <c r="D20" s="41"/>
      <c r="E20" s="8" t="s">
        <v>990</v>
      </c>
    </row>
    <row r="21" customFormat="false" ht="15" hidden="false" customHeight="true" outlineLevel="0" collapsed="false">
      <c r="A21" s="11" t="s">
        <v>991</v>
      </c>
      <c r="B21" s="6" t="s">
        <v>992</v>
      </c>
      <c r="C21" s="38" t="n">
        <f aca="false">C20*'1-Inputs'!$C$138</f>
        <v>320000</v>
      </c>
      <c r="D21" s="49" t="n">
        <f aca="false">C21/$C$31</f>
        <v>0.00499533638517166</v>
      </c>
      <c r="E21" s="8" t="s">
        <v>993</v>
      </c>
    </row>
    <row r="22" customFormat="false" ht="15" hidden="false" customHeight="true" outlineLevel="0" collapsed="false">
      <c r="A22" s="11" t="s">
        <v>994</v>
      </c>
      <c r="B22" s="6" t="s">
        <v>995</v>
      </c>
      <c r="C22" s="37" t="n">
        <f aca="false">MAX(600,'1-Inputs'!$C$139+'1-Inputs'!$C$140*('1-Inputs'!$C$8-1))*'1-Inputs'!$C$8</f>
        <v>810</v>
      </c>
      <c r="D22" s="41"/>
      <c r="E22" s="8" t="s">
        <v>996</v>
      </c>
    </row>
    <row r="23" customFormat="false" ht="15" hidden="false" customHeight="true" outlineLevel="0" collapsed="false">
      <c r="A23" s="11" t="s">
        <v>997</v>
      </c>
      <c r="B23" s="6" t="s">
        <v>998</v>
      </c>
      <c r="C23" s="38" t="n">
        <f aca="false">C22*'1-Inputs'!$C$141</f>
        <v>405000</v>
      </c>
      <c r="D23" s="49" t="n">
        <f aca="false">C23/$C$31</f>
        <v>0.00632222261248288</v>
      </c>
      <c r="E23" s="8" t="s">
        <v>993</v>
      </c>
    </row>
    <row r="24" customFormat="false" ht="15" hidden="false" customHeight="true" outlineLevel="0" collapsed="false">
      <c r="A24" s="11" t="s">
        <v>999</v>
      </c>
      <c r="B24" s="6" t="s">
        <v>1000</v>
      </c>
      <c r="C24" s="37" t="n">
        <f aca="false">MAX(64,'1-Inputs'!$C$142+'1-Inputs'!$C$143*('1-Inputs'!$C$8-1))*'1-Inputs'!$C$8</f>
        <v>200</v>
      </c>
      <c r="D24" s="41"/>
      <c r="E24" s="8" t="s">
        <v>1001</v>
      </c>
    </row>
    <row r="25" customFormat="false" ht="15" hidden="false" customHeight="true" outlineLevel="0" collapsed="false">
      <c r="A25" s="11" t="s">
        <v>1002</v>
      </c>
      <c r="B25" s="6" t="s">
        <v>1003</v>
      </c>
      <c r="C25" s="38" t="n">
        <f aca="false">C24*'1-Inputs'!$C$144</f>
        <v>260000</v>
      </c>
      <c r="D25" s="49" t="n">
        <f aca="false">C25/$C$31</f>
        <v>0.00405871081295197</v>
      </c>
      <c r="E25" s="8" t="s">
        <v>1004</v>
      </c>
    </row>
    <row r="26" customFormat="false" ht="15" hidden="false" customHeight="true" outlineLevel="0" collapsed="false">
      <c r="A26" s="11" t="s">
        <v>1005</v>
      </c>
      <c r="B26" s="6" t="s">
        <v>1006</v>
      </c>
      <c r="C26" s="37" t="n">
        <f aca="false">C18+C20+C22+C24</f>
        <v>4650</v>
      </c>
      <c r="D26" s="41"/>
      <c r="E26" s="8" t="s">
        <v>1007</v>
      </c>
    </row>
    <row r="27" customFormat="false" ht="15" hidden="false" customHeight="true" outlineLevel="0" collapsed="false">
      <c r="A27" s="11" t="s">
        <v>1008</v>
      </c>
      <c r="B27" s="6" t="s">
        <v>127</v>
      </c>
      <c r="C27" s="38" t="n">
        <f aca="false">'1-Inputs'!$C$145+'1-Inputs'!$C$146*('1-Inputs'!$C$8-1)</f>
        <v>1300000</v>
      </c>
      <c r="D27" s="49" t="n">
        <f aca="false">C27/$C$31</f>
        <v>0.0202935540647599</v>
      </c>
      <c r="E27" s="8" t="s">
        <v>1009</v>
      </c>
    </row>
    <row r="28" customFormat="false" ht="15" hidden="false" customHeight="true" outlineLevel="0" collapsed="false">
      <c r="A28" s="11" t="s">
        <v>1010</v>
      </c>
      <c r="B28" s="11" t="s">
        <v>1011</v>
      </c>
      <c r="C28" s="50" t="n">
        <f aca="false">C19+C21+C23+C25+C27</f>
        <v>4985000</v>
      </c>
      <c r="D28" s="49" t="n">
        <f aca="false">C28/$C$31</f>
        <v>0.0778179746252522</v>
      </c>
      <c r="E28" s="8" t="s">
        <v>1012</v>
      </c>
    </row>
    <row r="29" customFormat="false" ht="15" hidden="false" customHeight="true" outlineLevel="0" collapsed="false">
      <c r="A29" s="11" t="s">
        <v>1013</v>
      </c>
      <c r="B29" s="6" t="s">
        <v>102</v>
      </c>
      <c r="C29" s="37" t="n">
        <f aca="false">'1-Inputs'!$C$151*(1+'1-Inputs'!$C$152*('1-Inputs'!$C$8-1))</f>
        <v>750000</v>
      </c>
      <c r="D29" s="49" t="n">
        <f aca="false">C29/$C$31</f>
        <v>0.0117078196527461</v>
      </c>
      <c r="E29" s="8"/>
    </row>
    <row r="30" customFormat="false" ht="15" hidden="false" customHeight="true" outlineLevel="0" collapsed="false">
      <c r="A30" s="11" t="s">
        <v>1014</v>
      </c>
      <c r="B30" s="6" t="s">
        <v>630</v>
      </c>
      <c r="C30" s="37" t="n">
        <f aca="false">'1-Inputs'!$C$153*(C15+C28)</f>
        <v>3014750</v>
      </c>
      <c r="D30" s="49" t="n">
        <f aca="false">C30/$C$31</f>
        <v>0.0470615323974883</v>
      </c>
      <c r="E30" s="8" t="s">
        <v>1015</v>
      </c>
    </row>
    <row r="31" customFormat="false" ht="15" hidden="false" customHeight="true" outlineLevel="0" collapsed="false">
      <c r="A31" s="11"/>
      <c r="B31" s="11" t="s">
        <v>1016</v>
      </c>
      <c r="C31" s="51" t="n">
        <f aca="false">C15+C28+C29+C30</f>
        <v>64059750</v>
      </c>
      <c r="D31" s="49" t="n">
        <f aca="false">C31/$C$31</f>
        <v>1</v>
      </c>
      <c r="E31" s="8"/>
    </row>
    <row r="33" customFormat="false" ht="15" hidden="false" customHeight="true" outlineLevel="0" collapsed="false">
      <c r="A33" s="11"/>
      <c r="B33" s="6" t="s">
        <v>1017</v>
      </c>
      <c r="C33" s="37" t="n">
        <f aca="false">C26*1.28</f>
        <v>5952</v>
      </c>
      <c r="D33" s="41"/>
      <c r="E33" s="8" t="s">
        <v>1018</v>
      </c>
    </row>
    <row r="34" customFormat="false" ht="15" hidden="false" customHeight="true" outlineLevel="0" collapsed="false">
      <c r="A34" s="11"/>
      <c r="B34" s="11" t="s">
        <v>1019</v>
      </c>
      <c r="C34" s="52" t="n">
        <f aca="false">C31/'2-Production'!D7</f>
        <v>1386.57467532468</v>
      </c>
      <c r="D34" s="41"/>
      <c r="E34" s="8"/>
    </row>
    <row r="35" customFormat="false" ht="15" hidden="false" customHeight="true" outlineLevel="0" collapsed="false">
      <c r="A35" s="11"/>
      <c r="B35" s="6" t="s">
        <v>1020</v>
      </c>
      <c r="C35" s="37" t="n">
        <f aca="false">C31*'1-Inputs'!$C$156</f>
        <v>44841825</v>
      </c>
      <c r="D35" s="41"/>
      <c r="E35" s="8"/>
    </row>
    <row r="36" customFormat="false" ht="15" hidden="false" customHeight="true" outlineLevel="0" collapsed="false">
      <c r="A36" s="11"/>
      <c r="B36" s="6" t="s">
        <v>1021</v>
      </c>
      <c r="C36" s="37" t="n">
        <f aca="false">C31-C35</f>
        <v>19217925</v>
      </c>
      <c r="D36" s="41"/>
      <c r="E36" s="8"/>
    </row>
    <row r="37" customFormat="false" ht="15" hidden="false" customHeight="true" outlineLevel="0" collapsed="false">
      <c r="A37" s="11"/>
      <c r="B37" s="6" t="s">
        <v>1022</v>
      </c>
      <c r="C37" s="37" t="n">
        <f aca="false">C31/'1-Inputs'!$C$160</f>
        <v>4270650</v>
      </c>
      <c r="D37" s="41"/>
      <c r="E3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2"/>
    <col collapsed="false" customWidth="true" hidden="false" outlineLevel="0" max="17" min="3" style="1" width="14"/>
  </cols>
  <sheetData>
    <row r="1" customFormat="false" ht="17.25" hidden="false" customHeight="true" outlineLevel="0" collapsed="false">
      <c r="A1" s="2" t="s">
        <v>1023</v>
      </c>
    </row>
    <row r="2" customFormat="false" ht="15" hidden="false" customHeight="true" outlineLevel="0" collapsed="false">
      <c r="A2" s="3" t="s">
        <v>1024</v>
      </c>
    </row>
    <row r="4" customFormat="false" ht="15" hidden="false" customHeight="true" outlineLevel="0" collapsed="false">
      <c r="C4" s="53" t="s">
        <v>1025</v>
      </c>
      <c r="D4" s="53" t="s">
        <v>1026</v>
      </c>
      <c r="E4" s="53" t="s">
        <v>1027</v>
      </c>
      <c r="F4" s="53" t="s">
        <v>1028</v>
      </c>
      <c r="G4" s="53" t="s">
        <v>1029</v>
      </c>
      <c r="H4" s="53" t="s">
        <v>1030</v>
      </c>
      <c r="I4" s="53" t="s">
        <v>1031</v>
      </c>
      <c r="J4" s="53" t="s">
        <v>1032</v>
      </c>
      <c r="K4" s="53" t="s">
        <v>1033</v>
      </c>
      <c r="L4" s="53" t="s">
        <v>1034</v>
      </c>
      <c r="M4" s="53" t="s">
        <v>1035</v>
      </c>
      <c r="N4" s="53" t="s">
        <v>1036</v>
      </c>
      <c r="O4" s="53" t="s">
        <v>1037</v>
      </c>
      <c r="P4" s="53" t="s">
        <v>1038</v>
      </c>
      <c r="Q4" s="53" t="s">
        <v>1039</v>
      </c>
    </row>
    <row r="5" customFormat="false" ht="15" hidden="false" customHeight="true" outlineLevel="0" collapsed="false">
      <c r="B5" s="54" t="s">
        <v>1040</v>
      </c>
      <c r="C5" s="55" t="n">
        <f aca="false">IF(1=1,'1-Inputs'!$C$162,IF(1=2,'1-Inputs'!$C$163,1))</f>
        <v>0.7</v>
      </c>
      <c r="D5" s="55" t="n">
        <f aca="false">IF(2=1,'1-Inputs'!$C$162,IF(2=2,'1-Inputs'!$C$163,1))</f>
        <v>0.85</v>
      </c>
      <c r="E5" s="55" t="n">
        <f aca="false">IF(3=1,'1-Inputs'!$C$162,IF(3=2,'1-Inputs'!$C$163,1))</f>
        <v>1</v>
      </c>
      <c r="F5" s="55" t="n">
        <f aca="false">IF(4=1,'1-Inputs'!$C$162,IF(4=2,'1-Inputs'!$C$163,1))</f>
        <v>1</v>
      </c>
      <c r="G5" s="55" t="n">
        <f aca="false">IF(5=1,'1-Inputs'!$C$162,IF(5=2,'1-Inputs'!$C$163,1))</f>
        <v>1</v>
      </c>
      <c r="H5" s="55" t="n">
        <f aca="false">IF(6=1,'1-Inputs'!$C$162,IF(6=2,'1-Inputs'!$C$163,1))</f>
        <v>1</v>
      </c>
      <c r="I5" s="55" t="n">
        <f aca="false">IF(7=1,'1-Inputs'!$C$162,IF(7=2,'1-Inputs'!$C$163,1))</f>
        <v>1</v>
      </c>
      <c r="J5" s="55" t="n">
        <f aca="false">IF(8=1,'1-Inputs'!$C$162,IF(8=2,'1-Inputs'!$C$163,1))</f>
        <v>1</v>
      </c>
      <c r="K5" s="55" t="n">
        <f aca="false">IF(9=1,'1-Inputs'!$C$162,IF(9=2,'1-Inputs'!$C$163,1))</f>
        <v>1</v>
      </c>
      <c r="L5" s="55" t="n">
        <f aca="false">IF(10=1,'1-Inputs'!$C$162,IF(10=2,'1-Inputs'!$C$163,1))</f>
        <v>1</v>
      </c>
      <c r="M5" s="55" t="n">
        <f aca="false">IF(11=1,'1-Inputs'!$C$162,IF(11=2,'1-Inputs'!$C$163,1))</f>
        <v>1</v>
      </c>
      <c r="N5" s="55" t="n">
        <f aca="false">IF(12=1,'1-Inputs'!$C$162,IF(12=2,'1-Inputs'!$C$163,1))</f>
        <v>1</v>
      </c>
      <c r="O5" s="55" t="n">
        <f aca="false">IF(13=1,'1-Inputs'!$C$162,IF(13=2,'1-Inputs'!$C$163,1))</f>
        <v>1</v>
      </c>
      <c r="P5" s="55" t="n">
        <f aca="false">IF(14=1,'1-Inputs'!$C$162,IF(14=2,'1-Inputs'!$C$163,1))</f>
        <v>1</v>
      </c>
      <c r="Q5" s="55" t="n">
        <f aca="false">IF(15=1,'1-Inputs'!$C$162,IF(15=2,'1-Inputs'!$C$163,1))</f>
        <v>1</v>
      </c>
    </row>
    <row r="6" customFormat="false" ht="15" hidden="false" customHeight="true" outlineLevel="0" collapsed="false">
      <c r="B6" s="54" t="s">
        <v>1041</v>
      </c>
      <c r="C6" s="56" t="n">
        <f aca="false">'2-Production'!D7*C5</f>
        <v>32340</v>
      </c>
      <c r="D6" s="56" t="n">
        <f aca="false">'2-Production'!D7*D5</f>
        <v>39270</v>
      </c>
      <c r="E6" s="56" t="n">
        <f aca="false">'2-Production'!D7*E5</f>
        <v>46200</v>
      </c>
      <c r="F6" s="56" t="n">
        <f aca="false">'2-Production'!D7*F5</f>
        <v>46200</v>
      </c>
      <c r="G6" s="56" t="n">
        <f aca="false">'2-Production'!D7*G5</f>
        <v>46200</v>
      </c>
      <c r="H6" s="56" t="n">
        <f aca="false">'2-Production'!D7*H5</f>
        <v>46200</v>
      </c>
      <c r="I6" s="56" t="n">
        <f aca="false">'2-Production'!D7*I5</f>
        <v>46200</v>
      </c>
      <c r="J6" s="56" t="n">
        <f aca="false">'2-Production'!D7*J5</f>
        <v>46200</v>
      </c>
      <c r="K6" s="56" t="n">
        <f aca="false">'2-Production'!D7*K5</f>
        <v>46200</v>
      </c>
      <c r="L6" s="56" t="n">
        <f aca="false">'2-Production'!D7*L5</f>
        <v>46200</v>
      </c>
      <c r="M6" s="56" t="n">
        <f aca="false">'2-Production'!D7*M5</f>
        <v>46200</v>
      </c>
      <c r="N6" s="56" t="n">
        <f aca="false">'2-Production'!D7*N5</f>
        <v>46200</v>
      </c>
      <c r="O6" s="56" t="n">
        <f aca="false">'2-Production'!D7*O5</f>
        <v>46200</v>
      </c>
      <c r="P6" s="56" t="n">
        <f aca="false">'2-Production'!D7*P5</f>
        <v>46200</v>
      </c>
      <c r="Q6" s="56" t="n">
        <f aca="false">'2-Production'!D7*Q5</f>
        <v>46200</v>
      </c>
    </row>
    <row r="8" customFormat="false" ht="15" hidden="false" customHeight="true" outlineLevel="0" collapsed="false">
      <c r="A8" s="5" t="s">
        <v>1042</v>
      </c>
      <c r="B8" s="5"/>
      <c r="C8" s="5"/>
      <c r="D8" s="5"/>
      <c r="E8" s="5"/>
      <c r="F8" s="5"/>
      <c r="G8" s="5"/>
      <c r="H8" s="5"/>
      <c r="I8" s="5"/>
      <c r="J8" s="5"/>
      <c r="K8" s="5"/>
      <c r="L8" s="5"/>
      <c r="M8" s="5"/>
      <c r="N8" s="5"/>
      <c r="O8" s="5"/>
      <c r="P8" s="5"/>
      <c r="Q8" s="5"/>
    </row>
    <row r="9" customFormat="false" ht="15" hidden="false" customHeight="true" outlineLevel="0" collapsed="false">
      <c r="B9" s="54" t="s">
        <v>1043</v>
      </c>
      <c r="C9" s="56" t="n">
        <f aca="false">C6*'1-Inputs'!$C$65*(1+'1-Inputs'!$C$161)^0</f>
        <v>3557400</v>
      </c>
      <c r="D9" s="56" t="n">
        <f aca="false">D6*'1-Inputs'!$C$65*(1+'1-Inputs'!$C$161)^1</f>
        <v>4406094</v>
      </c>
      <c r="E9" s="56" t="n">
        <f aca="false">E6*'1-Inputs'!$C$65*(1+'1-Inputs'!$C$161)^2</f>
        <v>5287312.8</v>
      </c>
      <c r="F9" s="56" t="n">
        <f aca="false">F6*'1-Inputs'!$C$65*(1+'1-Inputs'!$C$161)^3</f>
        <v>5393059.056</v>
      </c>
      <c r="G9" s="56" t="n">
        <f aca="false">G6*'1-Inputs'!$C$65*(1+'1-Inputs'!$C$161)^4</f>
        <v>5500920.23712</v>
      </c>
      <c r="H9" s="56" t="n">
        <f aca="false">H6*'1-Inputs'!$C$65*(1+'1-Inputs'!$C$161)^5</f>
        <v>5610938.6418624</v>
      </c>
      <c r="I9" s="56" t="n">
        <f aca="false">I6*'1-Inputs'!$C$65*(1+'1-Inputs'!$C$161)^6</f>
        <v>5723157.41469965</v>
      </c>
      <c r="J9" s="56" t="n">
        <f aca="false">J6*'1-Inputs'!$C$65*(1+'1-Inputs'!$C$161)^7</f>
        <v>5837620.56299364</v>
      </c>
      <c r="K9" s="56" t="n">
        <f aca="false">K6*'1-Inputs'!$C$65*(1+'1-Inputs'!$C$161)^8</f>
        <v>5954372.97425352</v>
      </c>
      <c r="L9" s="56" t="n">
        <f aca="false">L6*'1-Inputs'!$C$65*(1+'1-Inputs'!$C$161)^9</f>
        <v>6073460.43373859</v>
      </c>
      <c r="M9" s="56" t="n">
        <f aca="false">M6*'1-Inputs'!$C$65*(1+'1-Inputs'!$C$161)^10</f>
        <v>6194929.64241336</v>
      </c>
      <c r="N9" s="56" t="n">
        <f aca="false">N6*'1-Inputs'!$C$65*(1+'1-Inputs'!$C$161)^11</f>
        <v>6318828.23526162</v>
      </c>
      <c r="O9" s="56" t="n">
        <f aca="false">O6*'1-Inputs'!$C$65*(1+'1-Inputs'!$C$161)^12</f>
        <v>6445204.79996686</v>
      </c>
      <c r="P9" s="56" t="n">
        <f aca="false">P6*'1-Inputs'!$C$65*(1+'1-Inputs'!$C$161)^13</f>
        <v>6574108.89596619</v>
      </c>
      <c r="Q9" s="56" t="n">
        <f aca="false">Q6*'1-Inputs'!$C$65*(1+'1-Inputs'!$C$161)^14</f>
        <v>6705591.07388552</v>
      </c>
    </row>
    <row r="10" customFormat="false" ht="15" hidden="false" customHeight="true" outlineLevel="0" collapsed="false">
      <c r="B10" s="54" t="s">
        <v>803</v>
      </c>
      <c r="C10" s="56" t="n">
        <f aca="false">'2-Production'!D42*C5*'1-Inputs'!$C$79*(1+'1-Inputs'!$C$161)^0</f>
        <v>4224473.625834</v>
      </c>
      <c r="D10" s="56" t="n">
        <f aca="false">'2-Production'!D42*D5*'1-Inputs'!$C$79*(1+'1-Inputs'!$C$161)^1</f>
        <v>5232312.33371154</v>
      </c>
      <c r="E10" s="56" t="n">
        <f aca="false">'2-Production'!D42*E5*'1-Inputs'!$C$79*(1+'1-Inputs'!$C$161)^2</f>
        <v>6278774.80045385</v>
      </c>
      <c r="F10" s="56" t="n">
        <f aca="false">'2-Production'!D42*F5*'1-Inputs'!$C$79*(1+'1-Inputs'!$C$161)^3</f>
        <v>6404350.29646293</v>
      </c>
      <c r="G10" s="56" t="n">
        <f aca="false">'2-Production'!D42*G5*'1-Inputs'!$C$79*(1+'1-Inputs'!$C$161)^4</f>
        <v>6532437.30239218</v>
      </c>
      <c r="H10" s="56" t="n">
        <f aca="false">'2-Production'!D42*H5*'1-Inputs'!$C$79*(1+'1-Inputs'!$C$161)^5</f>
        <v>6663086.04844003</v>
      </c>
      <c r="I10" s="56" t="n">
        <f aca="false">'2-Production'!D42*I5*'1-Inputs'!$C$79*(1+'1-Inputs'!$C$161)^6</f>
        <v>6796347.76940883</v>
      </c>
      <c r="J10" s="56" t="n">
        <f aca="false">'2-Production'!D42*J5*'1-Inputs'!$C$79*(1+'1-Inputs'!$C$161)^7</f>
        <v>6932274.72479701</v>
      </c>
      <c r="K10" s="56" t="n">
        <f aca="false">'2-Production'!D42*K5*'1-Inputs'!$C$79*(1+'1-Inputs'!$C$161)^8</f>
        <v>7070920.21929295</v>
      </c>
      <c r="L10" s="56" t="n">
        <f aca="false">'2-Production'!D42*L5*'1-Inputs'!$C$79*(1+'1-Inputs'!$C$161)^9</f>
        <v>7212338.62367881</v>
      </c>
      <c r="M10" s="56" t="n">
        <f aca="false">'2-Production'!D42*M5*'1-Inputs'!$C$79*(1+'1-Inputs'!$C$161)^10</f>
        <v>7356585.39615238</v>
      </c>
      <c r="N10" s="56" t="n">
        <f aca="false">'2-Production'!D42*N5*'1-Inputs'!$C$79*(1+'1-Inputs'!$C$161)^11</f>
        <v>7503717.10407543</v>
      </c>
      <c r="O10" s="56" t="n">
        <f aca="false">'2-Production'!D42*O5*'1-Inputs'!$C$79*(1+'1-Inputs'!$C$161)^12</f>
        <v>7653791.44615694</v>
      </c>
      <c r="P10" s="56" t="n">
        <f aca="false">'2-Production'!D42*P5*'1-Inputs'!$C$79*(1+'1-Inputs'!$C$161)^13</f>
        <v>7806867.27508008</v>
      </c>
      <c r="Q10" s="56" t="n">
        <f aca="false">'2-Production'!D42*Q5*'1-Inputs'!$C$79*(1+'1-Inputs'!$C$161)^14</f>
        <v>7963004.62058168</v>
      </c>
    </row>
    <row r="11" customFormat="false" ht="15" hidden="false" customHeight="true" outlineLevel="0" collapsed="false">
      <c r="B11" s="54" t="s">
        <v>1044</v>
      </c>
      <c r="C11" s="56" t="n">
        <f aca="false">'2-Production'!D43*C5*'1-Inputs'!$C$80*(1+'1-Inputs'!$C$161)^0</f>
        <v>957083.13855</v>
      </c>
      <c r="D11" s="56" t="n">
        <f aca="false">'2-Production'!D43*D5*'1-Inputs'!$C$80*(1+'1-Inputs'!$C$161)^1</f>
        <v>1185415.8301755</v>
      </c>
      <c r="E11" s="56" t="n">
        <f aca="false">'2-Production'!D43*E5*'1-Inputs'!$C$80*(1+'1-Inputs'!$C$161)^2</f>
        <v>1422498.9962106</v>
      </c>
      <c r="F11" s="56" t="n">
        <f aca="false">'2-Production'!D43*F5*'1-Inputs'!$C$80*(1+'1-Inputs'!$C$161)^3</f>
        <v>1450948.97613481</v>
      </c>
      <c r="G11" s="56" t="n">
        <f aca="false">'2-Production'!D43*G5*'1-Inputs'!$C$80*(1+'1-Inputs'!$C$161)^4</f>
        <v>1479967.95565751</v>
      </c>
      <c r="H11" s="56" t="n">
        <f aca="false">'2-Production'!D43*H5*'1-Inputs'!$C$80*(1+'1-Inputs'!$C$161)^5</f>
        <v>1509567.31477066</v>
      </c>
      <c r="I11" s="56" t="n">
        <f aca="false">'2-Production'!D43*I5*'1-Inputs'!$C$80*(1+'1-Inputs'!$C$161)^6</f>
        <v>1539758.66106607</v>
      </c>
      <c r="J11" s="56" t="n">
        <f aca="false">'2-Production'!D43*J5*'1-Inputs'!$C$80*(1+'1-Inputs'!$C$161)^7</f>
        <v>1570553.83428739</v>
      </c>
      <c r="K11" s="56" t="n">
        <f aca="false">'2-Production'!D43*K5*'1-Inputs'!$C$80*(1+'1-Inputs'!$C$161)^8</f>
        <v>1601964.91097314</v>
      </c>
      <c r="L11" s="56" t="n">
        <f aca="false">'2-Production'!D43*L5*'1-Inputs'!$C$80*(1+'1-Inputs'!$C$161)^9</f>
        <v>1634004.2091926</v>
      </c>
      <c r="M11" s="56" t="n">
        <f aca="false">'2-Production'!D43*M5*'1-Inputs'!$C$80*(1+'1-Inputs'!$C$161)^10</f>
        <v>1666684.29337646</v>
      </c>
      <c r="N11" s="56" t="n">
        <f aca="false">'2-Production'!D43*N5*'1-Inputs'!$C$80*(1+'1-Inputs'!$C$161)^11</f>
        <v>1700017.97924399</v>
      </c>
      <c r="O11" s="56" t="n">
        <f aca="false">'2-Production'!D43*O5*'1-Inputs'!$C$80*(1+'1-Inputs'!$C$161)^12</f>
        <v>1734018.33882886</v>
      </c>
      <c r="P11" s="56" t="n">
        <f aca="false">'2-Production'!D43*P5*'1-Inputs'!$C$80*(1+'1-Inputs'!$C$161)^13</f>
        <v>1768698.70560544</v>
      </c>
      <c r="Q11" s="56" t="n">
        <f aca="false">'2-Production'!D43*Q5*'1-Inputs'!$C$80*(1+'1-Inputs'!$C$161)^14</f>
        <v>1804072.67971755</v>
      </c>
    </row>
    <row r="12" customFormat="false" ht="15" hidden="false" customHeight="true" outlineLevel="0" collapsed="false">
      <c r="B12" s="54" t="s">
        <v>180</v>
      </c>
      <c r="C12" s="56" t="n">
        <f aca="false">('2-Production'!D44*'1-Inputs'!$C$81+'2-Production'!D45*'1-Inputs'!$C$82+'2-Production'!D46*'1-Inputs'!$C$83)*C5*(1+'1-Inputs'!$C$161)^0</f>
        <v>658426.23</v>
      </c>
      <c r="D12" s="56" t="n">
        <f aca="false">('2-Production'!D44*'1-Inputs'!$C$81+'2-Production'!D45*'1-Inputs'!$C$82+'2-Production'!D46*'1-Inputs'!$C$83)*D5*(1+'1-Inputs'!$C$161)^1</f>
        <v>815507.9163</v>
      </c>
      <c r="E12" s="56" t="n">
        <f aca="false">('2-Production'!D44*'1-Inputs'!$C$81+'2-Production'!D45*'1-Inputs'!$C$82+'2-Production'!D46*'1-Inputs'!$C$83)*E5*(1+'1-Inputs'!$C$161)^2</f>
        <v>978609.49956</v>
      </c>
      <c r="F12" s="56" t="n">
        <f aca="false">('2-Production'!D44*'1-Inputs'!$C$81+'2-Production'!D45*'1-Inputs'!$C$82+'2-Production'!D46*'1-Inputs'!$C$83)*F5*(1+'1-Inputs'!$C$161)^3</f>
        <v>998181.6895512</v>
      </c>
      <c r="G12" s="56" t="n">
        <f aca="false">('2-Production'!D44*'1-Inputs'!$C$81+'2-Production'!D45*'1-Inputs'!$C$82+'2-Production'!D46*'1-Inputs'!$C$83)*G5*(1+'1-Inputs'!$C$161)^4</f>
        <v>1018145.32334222</v>
      </c>
      <c r="H12" s="56" t="n">
        <f aca="false">('2-Production'!D44*'1-Inputs'!$C$81+'2-Production'!D45*'1-Inputs'!$C$82+'2-Production'!D46*'1-Inputs'!$C$83)*H5*(1+'1-Inputs'!$C$161)^5</f>
        <v>1038508.22980907</v>
      </c>
      <c r="I12" s="56" t="n">
        <f aca="false">('2-Production'!D44*'1-Inputs'!$C$81+'2-Production'!D45*'1-Inputs'!$C$82+'2-Production'!D46*'1-Inputs'!$C$83)*I5*(1+'1-Inputs'!$C$161)^6</f>
        <v>1059278.39440525</v>
      </c>
      <c r="J12" s="56" t="n">
        <f aca="false">('2-Production'!D44*'1-Inputs'!$C$81+'2-Production'!D45*'1-Inputs'!$C$82+'2-Production'!D46*'1-Inputs'!$C$83)*J5*(1+'1-Inputs'!$C$161)^7</f>
        <v>1080463.96229335</v>
      </c>
      <c r="K12" s="56" t="n">
        <f aca="false">('2-Production'!D44*'1-Inputs'!$C$81+'2-Production'!D45*'1-Inputs'!$C$82+'2-Production'!D46*'1-Inputs'!$C$83)*K5*(1+'1-Inputs'!$C$161)^8</f>
        <v>1102073.24153922</v>
      </c>
      <c r="L12" s="56" t="n">
        <f aca="false">('2-Production'!D44*'1-Inputs'!$C$81+'2-Production'!D45*'1-Inputs'!$C$82+'2-Production'!D46*'1-Inputs'!$C$83)*L5*(1+'1-Inputs'!$C$161)^9</f>
        <v>1124114.70637001</v>
      </c>
      <c r="M12" s="56" t="n">
        <f aca="false">('2-Production'!D44*'1-Inputs'!$C$81+'2-Production'!D45*'1-Inputs'!$C$82+'2-Production'!D46*'1-Inputs'!$C$83)*M5*(1+'1-Inputs'!$C$161)^10</f>
        <v>1146597.00049741</v>
      </c>
      <c r="N12" s="56" t="n">
        <f aca="false">('2-Production'!D44*'1-Inputs'!$C$81+'2-Production'!D45*'1-Inputs'!$C$82+'2-Production'!D46*'1-Inputs'!$C$83)*N5*(1+'1-Inputs'!$C$161)^11</f>
        <v>1169528.94050735</v>
      </c>
      <c r="O12" s="56" t="n">
        <f aca="false">('2-Production'!D44*'1-Inputs'!$C$81+'2-Production'!D45*'1-Inputs'!$C$82+'2-Production'!D46*'1-Inputs'!$C$83)*O5*(1+'1-Inputs'!$C$161)^12</f>
        <v>1192919.5193175</v>
      </c>
      <c r="P12" s="56" t="n">
        <f aca="false">('2-Production'!D44*'1-Inputs'!$C$81+'2-Production'!D45*'1-Inputs'!$C$82+'2-Production'!D46*'1-Inputs'!$C$83)*P5*(1+'1-Inputs'!$C$161)^13</f>
        <v>1216777.90970385</v>
      </c>
      <c r="Q12" s="56" t="n">
        <f aca="false">('2-Production'!D44*'1-Inputs'!$C$81+'2-Production'!D45*'1-Inputs'!$C$82+'2-Production'!D46*'1-Inputs'!$C$83)*Q5*(1+'1-Inputs'!$C$161)^14</f>
        <v>1241113.46789793</v>
      </c>
    </row>
    <row r="13" customFormat="false" ht="15" hidden="false" customHeight="true" outlineLevel="0" collapsed="false">
      <c r="B13" s="54" t="s">
        <v>1045</v>
      </c>
      <c r="C13" s="56" t="n">
        <f aca="false">('2-Production'!D48*'1-Inputs'!$C$84+'2-Production'!D92*'1-Inputs'!$C$185+'2-Production'!D93*'1-Inputs'!$C$187)*C5*(1+'1-Inputs'!$C$161)^0</f>
        <v>36605.646</v>
      </c>
      <c r="D13" s="56" t="n">
        <f aca="false">('2-Production'!D48*'1-Inputs'!$C$84+'2-Production'!D92*'1-Inputs'!$C$185+'2-Production'!D93*'1-Inputs'!$C$187)*D5*(1+'1-Inputs'!$C$161)^1</f>
        <v>45338.70726</v>
      </c>
      <c r="E13" s="56" t="n">
        <f aca="false">('2-Production'!D48*'1-Inputs'!$C$84+'2-Production'!D92*'1-Inputs'!$C$185+'2-Production'!D93*'1-Inputs'!$C$187)*E5*(1+'1-Inputs'!$C$161)^2</f>
        <v>54406.448712</v>
      </c>
      <c r="F13" s="56" t="n">
        <f aca="false">('2-Production'!D48*'1-Inputs'!$C$84+'2-Production'!D92*'1-Inputs'!$C$185+'2-Production'!D93*'1-Inputs'!$C$187)*F5*(1+'1-Inputs'!$C$161)^3</f>
        <v>55494.57768624</v>
      </c>
      <c r="G13" s="56" t="n">
        <f aca="false">('2-Production'!D48*'1-Inputs'!$C$84+'2-Production'!D92*'1-Inputs'!$C$185+'2-Production'!D93*'1-Inputs'!$C$187)*G5*(1+'1-Inputs'!$C$161)^4</f>
        <v>56604.4692399648</v>
      </c>
      <c r="H13" s="56" t="n">
        <f aca="false">('2-Production'!D48*'1-Inputs'!$C$84+'2-Production'!D92*'1-Inputs'!$C$185+'2-Production'!D93*'1-Inputs'!$C$187)*H5*(1+'1-Inputs'!$C$161)^5</f>
        <v>57736.5586247641</v>
      </c>
      <c r="I13" s="56" t="n">
        <f aca="false">('2-Production'!D48*'1-Inputs'!$C$84+'2-Production'!D92*'1-Inputs'!$C$185+'2-Production'!D93*'1-Inputs'!$C$187)*I5*(1+'1-Inputs'!$C$161)^6</f>
        <v>58891.2897972594</v>
      </c>
      <c r="J13" s="56" t="n">
        <f aca="false">('2-Production'!D48*'1-Inputs'!$C$84+'2-Production'!D92*'1-Inputs'!$C$185+'2-Production'!D93*'1-Inputs'!$C$187)*J5*(1+'1-Inputs'!$C$161)^7</f>
        <v>60069.1155932046</v>
      </c>
      <c r="K13" s="56" t="n">
        <f aca="false">('2-Production'!D48*'1-Inputs'!$C$84+'2-Production'!D92*'1-Inputs'!$C$185+'2-Production'!D93*'1-Inputs'!$C$187)*K5*(1+'1-Inputs'!$C$161)^8</f>
        <v>61270.4979050687</v>
      </c>
      <c r="L13" s="56" t="n">
        <f aca="false">('2-Production'!D48*'1-Inputs'!$C$84+'2-Production'!D92*'1-Inputs'!$C$185+'2-Production'!D93*'1-Inputs'!$C$187)*L5*(1+'1-Inputs'!$C$161)^9</f>
        <v>62495.90786317</v>
      </c>
      <c r="M13" s="56" t="n">
        <f aca="false">('2-Production'!D48*'1-Inputs'!$C$84+'2-Production'!D92*'1-Inputs'!$C$185+'2-Production'!D93*'1-Inputs'!$C$187)*M5*(1+'1-Inputs'!$C$161)^10</f>
        <v>63745.8260204334</v>
      </c>
      <c r="N13" s="56" t="n">
        <f aca="false">('2-Production'!D48*'1-Inputs'!$C$84+'2-Production'!D92*'1-Inputs'!$C$185+'2-Production'!D93*'1-Inputs'!$C$187)*N5*(1+'1-Inputs'!$C$161)^11</f>
        <v>65020.7425408421</v>
      </c>
      <c r="O13" s="56" t="n">
        <f aca="false">('2-Production'!D48*'1-Inputs'!$C$84+'2-Production'!D92*'1-Inputs'!$C$185+'2-Production'!D93*'1-Inputs'!$C$187)*O5*(1+'1-Inputs'!$C$161)^12</f>
        <v>66321.157391659</v>
      </c>
      <c r="P13" s="56" t="n">
        <f aca="false">('2-Production'!D48*'1-Inputs'!$C$84+'2-Production'!D92*'1-Inputs'!$C$185+'2-Production'!D93*'1-Inputs'!$C$187)*P5*(1+'1-Inputs'!$C$161)^13</f>
        <v>67647.5805394921</v>
      </c>
      <c r="Q13" s="56" t="n">
        <f aca="false">('2-Production'!D48*'1-Inputs'!$C$84+'2-Production'!D92*'1-Inputs'!$C$185+'2-Production'!D93*'1-Inputs'!$C$187)*Q5*(1+'1-Inputs'!$C$161)^14</f>
        <v>69000.532150282</v>
      </c>
    </row>
    <row r="14" customFormat="false" ht="15" hidden="false" customHeight="true" outlineLevel="0" collapsed="false">
      <c r="B14" s="54" t="s">
        <v>172</v>
      </c>
      <c r="C14" s="56" t="n">
        <f aca="false">'2-Production'!D89*C5*'1-Inputs'!$C$92*'1-Inputs'!$C$90*(1+'1-Inputs'!$C$161)^0</f>
        <v>0</v>
      </c>
      <c r="D14" s="56" t="n">
        <f aca="false">'2-Production'!D89*D5*'1-Inputs'!$C$92*'1-Inputs'!$C$90*(1+'1-Inputs'!$C$161)^1</f>
        <v>0</v>
      </c>
      <c r="E14" s="56" t="n">
        <f aca="false">'2-Production'!D89*E5*'1-Inputs'!$C$92*'1-Inputs'!$C$90*(1+'1-Inputs'!$C$161)^2</f>
        <v>0</v>
      </c>
      <c r="F14" s="56" t="n">
        <f aca="false">'2-Production'!D89*F5*'1-Inputs'!$C$92*'1-Inputs'!$C$90*(1+'1-Inputs'!$C$161)^3</f>
        <v>0</v>
      </c>
      <c r="G14" s="56" t="n">
        <f aca="false">'2-Production'!D89*G5*'1-Inputs'!$C$92*'1-Inputs'!$C$90*(1+'1-Inputs'!$C$161)^4</f>
        <v>0</v>
      </c>
      <c r="H14" s="56" t="n">
        <f aca="false">'2-Production'!D89*H5*'1-Inputs'!$C$92*'1-Inputs'!$C$90*(1+'1-Inputs'!$C$161)^5</f>
        <v>0</v>
      </c>
      <c r="I14" s="56" t="n">
        <f aca="false">'2-Production'!D89*I5*'1-Inputs'!$C$92*'1-Inputs'!$C$90*(1+'1-Inputs'!$C$161)^6</f>
        <v>0</v>
      </c>
      <c r="J14" s="56" t="n">
        <f aca="false">'2-Production'!D89*J5*'1-Inputs'!$C$92*'1-Inputs'!$C$90*(1+'1-Inputs'!$C$161)^7</f>
        <v>0</v>
      </c>
      <c r="K14" s="56" t="n">
        <f aca="false">'2-Production'!D89*K5*'1-Inputs'!$C$92*'1-Inputs'!$C$90*(1+'1-Inputs'!$C$161)^8</f>
        <v>0</v>
      </c>
      <c r="L14" s="56" t="n">
        <f aca="false">'2-Production'!D89*L5*'1-Inputs'!$C$92*'1-Inputs'!$C$90*(1+'1-Inputs'!$C$161)^9</f>
        <v>0</v>
      </c>
      <c r="M14" s="56" t="n">
        <f aca="false">'2-Production'!D89*M5*'1-Inputs'!$C$92*'1-Inputs'!$C$90*(1+'1-Inputs'!$C$161)^10</f>
        <v>0</v>
      </c>
      <c r="N14" s="56" t="n">
        <f aca="false">'2-Production'!D89*N5*'1-Inputs'!$C$92*'1-Inputs'!$C$90*(1+'1-Inputs'!$C$161)^11</f>
        <v>0</v>
      </c>
      <c r="O14" s="56" t="n">
        <f aca="false">'2-Production'!D89*O5*'1-Inputs'!$C$92*'1-Inputs'!$C$90*(1+'1-Inputs'!$C$161)^12</f>
        <v>0</v>
      </c>
      <c r="P14" s="56" t="n">
        <f aca="false">'2-Production'!D89*P5*'1-Inputs'!$C$92*'1-Inputs'!$C$90*(1+'1-Inputs'!$C$161)^13</f>
        <v>0</v>
      </c>
      <c r="Q14" s="56" t="n">
        <f aca="false">'2-Production'!D89*Q5*'1-Inputs'!$C$92*'1-Inputs'!$C$90*(1+'1-Inputs'!$C$161)^14</f>
        <v>0</v>
      </c>
    </row>
    <row r="15" customFormat="false" ht="15" hidden="false" customHeight="true" outlineLevel="0" collapsed="false">
      <c r="B15" s="57" t="s">
        <v>1046</v>
      </c>
      <c r="C15" s="58" t="n">
        <f aca="false">SUM(C9:C14)</f>
        <v>9433988.640384</v>
      </c>
      <c r="D15" s="58" t="n">
        <f aca="false">SUM(D9:D14)</f>
        <v>11684668.787447</v>
      </c>
      <c r="E15" s="58" t="n">
        <f aca="false">SUM(E9:E14)</f>
        <v>14021602.5449364</v>
      </c>
      <c r="F15" s="58" t="n">
        <f aca="false">SUM(F9:F14)</f>
        <v>14302034.5958352</v>
      </c>
      <c r="G15" s="58" t="n">
        <f aca="false">SUM(G9:G14)</f>
        <v>14588075.2877519</v>
      </c>
      <c r="H15" s="58" t="n">
        <f aca="false">SUM(H9:H14)</f>
        <v>14879836.7935069</v>
      </c>
      <c r="I15" s="58" t="n">
        <f aca="false">SUM(I9:I14)</f>
        <v>15177433.5293771</v>
      </c>
      <c r="J15" s="58" t="n">
        <f aca="false">SUM(J9:J14)</f>
        <v>15480982.1999646</v>
      </c>
      <c r="K15" s="58" t="n">
        <f aca="false">SUM(K9:K14)</f>
        <v>15790601.8439639</v>
      </c>
      <c r="L15" s="58" t="n">
        <f aca="false">SUM(L9:L14)</f>
        <v>16106413.8808432</v>
      </c>
      <c r="M15" s="58" t="n">
        <f aca="false">SUM(M9:M14)</f>
        <v>16428542.15846</v>
      </c>
      <c r="N15" s="58" t="n">
        <f aca="false">SUM(N9:N14)</f>
        <v>16757113.0016292</v>
      </c>
      <c r="O15" s="58" t="n">
        <f aca="false">SUM(O9:O14)</f>
        <v>17092255.2616618</v>
      </c>
      <c r="P15" s="58" t="n">
        <f aca="false">SUM(P9:P14)</f>
        <v>17434100.3668951</v>
      </c>
      <c r="Q15" s="58" t="n">
        <f aca="false">SUM(Q9:Q14)</f>
        <v>17782782.374233</v>
      </c>
    </row>
    <row r="17" customFormat="false" ht="15" hidden="false" customHeight="true" outlineLevel="0" collapsed="false">
      <c r="A17" s="5" t="s">
        <v>1047</v>
      </c>
      <c r="B17" s="5"/>
      <c r="C17" s="5"/>
      <c r="D17" s="5"/>
      <c r="E17" s="5"/>
      <c r="F17" s="5"/>
      <c r="G17" s="5"/>
      <c r="H17" s="5"/>
      <c r="I17" s="5"/>
      <c r="J17" s="5"/>
      <c r="K17" s="5"/>
      <c r="L17" s="5"/>
      <c r="M17" s="5"/>
      <c r="N17" s="5"/>
      <c r="O17" s="5"/>
      <c r="P17" s="5"/>
      <c r="Q17" s="5"/>
    </row>
    <row r="18" customFormat="false" ht="15" hidden="false" customHeight="true" outlineLevel="0" collapsed="false">
      <c r="B18" s="54" t="s">
        <v>1048</v>
      </c>
      <c r="C18" s="56" t="n">
        <f aca="false">('1-Inputs'!$C$104+'1-Inputs'!$C$105*('1-Inputs'!$C$8-1)+'1-Inputs'!$C$106*'1-Inputs'!$C$8)*'1-Inputs'!$C$107*C5*(1+'1-Inputs'!$C$161)^0</f>
        <v>862400</v>
      </c>
      <c r="D18" s="56" t="n">
        <f aca="false">('1-Inputs'!$C$104+'1-Inputs'!$C$105*('1-Inputs'!$C$8-1)+'1-Inputs'!$C$106*'1-Inputs'!$C$8)*'1-Inputs'!$C$107*D5*(1+'1-Inputs'!$C$161)^1</f>
        <v>1068144</v>
      </c>
      <c r="E18" s="56" t="n">
        <f aca="false">('1-Inputs'!$C$104+'1-Inputs'!$C$105*('1-Inputs'!$C$8-1)+'1-Inputs'!$C$106*'1-Inputs'!$C$8)*'1-Inputs'!$C$107*E5*(1+'1-Inputs'!$C$161)^2</f>
        <v>1281772.8</v>
      </c>
      <c r="F18" s="56" t="n">
        <f aca="false">('1-Inputs'!$C$104+'1-Inputs'!$C$105*('1-Inputs'!$C$8-1)+'1-Inputs'!$C$106*'1-Inputs'!$C$8)*'1-Inputs'!$C$107*F5*(1+'1-Inputs'!$C$161)^3</f>
        <v>1307408.256</v>
      </c>
      <c r="G18" s="56" t="n">
        <f aca="false">('1-Inputs'!$C$104+'1-Inputs'!$C$105*('1-Inputs'!$C$8-1)+'1-Inputs'!$C$106*'1-Inputs'!$C$8)*'1-Inputs'!$C$107*G5*(1+'1-Inputs'!$C$161)^4</f>
        <v>1333556.42112</v>
      </c>
      <c r="H18" s="56" t="n">
        <f aca="false">('1-Inputs'!$C$104+'1-Inputs'!$C$105*('1-Inputs'!$C$8-1)+'1-Inputs'!$C$106*'1-Inputs'!$C$8)*'1-Inputs'!$C$107*H5*(1+'1-Inputs'!$C$161)^5</f>
        <v>1360227.5495424</v>
      </c>
      <c r="I18" s="56" t="n">
        <f aca="false">('1-Inputs'!$C$104+'1-Inputs'!$C$105*('1-Inputs'!$C$8-1)+'1-Inputs'!$C$106*'1-Inputs'!$C$8)*'1-Inputs'!$C$107*I5*(1+'1-Inputs'!$C$161)^6</f>
        <v>1387432.10053325</v>
      </c>
      <c r="J18" s="56" t="n">
        <f aca="false">('1-Inputs'!$C$104+'1-Inputs'!$C$105*('1-Inputs'!$C$8-1)+'1-Inputs'!$C$106*'1-Inputs'!$C$8)*'1-Inputs'!$C$107*J5*(1+'1-Inputs'!$C$161)^7</f>
        <v>1415180.74254391</v>
      </c>
      <c r="K18" s="56" t="n">
        <f aca="false">('1-Inputs'!$C$104+'1-Inputs'!$C$105*('1-Inputs'!$C$8-1)+'1-Inputs'!$C$106*'1-Inputs'!$C$8)*'1-Inputs'!$C$107*K5*(1+'1-Inputs'!$C$161)^8</f>
        <v>1443484.35739479</v>
      </c>
      <c r="L18" s="56" t="n">
        <f aca="false">('1-Inputs'!$C$104+'1-Inputs'!$C$105*('1-Inputs'!$C$8-1)+'1-Inputs'!$C$106*'1-Inputs'!$C$8)*'1-Inputs'!$C$107*L5*(1+'1-Inputs'!$C$161)^9</f>
        <v>1472354.04454269</v>
      </c>
      <c r="M18" s="56" t="n">
        <f aca="false">('1-Inputs'!$C$104+'1-Inputs'!$C$105*('1-Inputs'!$C$8-1)+'1-Inputs'!$C$106*'1-Inputs'!$C$8)*'1-Inputs'!$C$107*M5*(1+'1-Inputs'!$C$161)^10</f>
        <v>1501801.12543354</v>
      </c>
      <c r="N18" s="56" t="n">
        <f aca="false">('1-Inputs'!$C$104+'1-Inputs'!$C$105*('1-Inputs'!$C$8-1)+'1-Inputs'!$C$106*'1-Inputs'!$C$8)*'1-Inputs'!$C$107*N5*(1+'1-Inputs'!$C$161)^11</f>
        <v>1531837.14794221</v>
      </c>
      <c r="O18" s="56" t="n">
        <f aca="false">('1-Inputs'!$C$104+'1-Inputs'!$C$105*('1-Inputs'!$C$8-1)+'1-Inputs'!$C$106*'1-Inputs'!$C$8)*'1-Inputs'!$C$107*O5*(1+'1-Inputs'!$C$161)^12</f>
        <v>1562473.89090106</v>
      </c>
      <c r="P18" s="56" t="n">
        <f aca="false">('1-Inputs'!$C$104+'1-Inputs'!$C$105*('1-Inputs'!$C$8-1)+'1-Inputs'!$C$106*'1-Inputs'!$C$8)*'1-Inputs'!$C$107*P5*(1+'1-Inputs'!$C$161)^13</f>
        <v>1593723.36871908</v>
      </c>
      <c r="Q18" s="56" t="n">
        <f aca="false">('1-Inputs'!$C$104+'1-Inputs'!$C$105*('1-Inputs'!$C$8-1)+'1-Inputs'!$C$106*'1-Inputs'!$C$8)*'1-Inputs'!$C$107*Q5*(1+'1-Inputs'!$C$161)^14</f>
        <v>1625597.83609346</v>
      </c>
    </row>
    <row r="19" customFormat="false" ht="15" hidden="false" customHeight="true" outlineLevel="0" collapsed="false">
      <c r="B19" s="54" t="s">
        <v>1049</v>
      </c>
      <c r="C19" s="59" t="n">
        <f aca="false">IF(1&lt;='1-Inputs'!$C$110,'1-Inputs'!$C$108,IF(1&gt;='1-Inputs'!$C$111,'1-Inputs'!$C$109,'1-Inputs'!$C$108+('1-Inputs'!$C$109-'1-Inputs'!$C$108)*(1-'1-Inputs'!$C$110)/('1-Inputs'!$C$111-'1-Inputs'!$C$110)))</f>
        <v>0.01</v>
      </c>
      <c r="D19" s="59" t="n">
        <f aca="false">IF(2&lt;='1-Inputs'!$C$110,'1-Inputs'!$C$108,IF(2&gt;='1-Inputs'!$C$111,'1-Inputs'!$C$109,'1-Inputs'!$C$108+('1-Inputs'!$C$109-'1-Inputs'!$C$108)*(2-'1-Inputs'!$C$110)/('1-Inputs'!$C$111-'1-Inputs'!$C$110)))</f>
        <v>0.01</v>
      </c>
      <c r="E19" s="59" t="n">
        <f aca="false">IF(3&lt;='1-Inputs'!$C$110,'1-Inputs'!$C$108,IF(3&gt;='1-Inputs'!$C$111,'1-Inputs'!$C$109,'1-Inputs'!$C$108+('1-Inputs'!$C$109-'1-Inputs'!$C$108)*(3-'1-Inputs'!$C$110)/('1-Inputs'!$C$111-'1-Inputs'!$C$110)))</f>
        <v>0.01</v>
      </c>
      <c r="F19" s="59" t="n">
        <f aca="false">IF(4&lt;='1-Inputs'!$C$110,'1-Inputs'!$C$108,IF(4&gt;='1-Inputs'!$C$111,'1-Inputs'!$C$109,'1-Inputs'!$C$108+('1-Inputs'!$C$109-'1-Inputs'!$C$108)*(4-'1-Inputs'!$C$110)/('1-Inputs'!$C$111-'1-Inputs'!$C$110)))</f>
        <v>0.01</v>
      </c>
      <c r="G19" s="59" t="n">
        <f aca="false">IF(5&lt;='1-Inputs'!$C$110,'1-Inputs'!$C$108,IF(5&gt;='1-Inputs'!$C$111,'1-Inputs'!$C$109,'1-Inputs'!$C$108+('1-Inputs'!$C$109-'1-Inputs'!$C$108)*(5-'1-Inputs'!$C$110)/('1-Inputs'!$C$111-'1-Inputs'!$C$110)))</f>
        <v>0.015</v>
      </c>
      <c r="H19" s="59" t="n">
        <f aca="false">IF(6&lt;='1-Inputs'!$C$110,'1-Inputs'!$C$108,IF(6&gt;='1-Inputs'!$C$111,'1-Inputs'!$C$109,'1-Inputs'!$C$108+('1-Inputs'!$C$109-'1-Inputs'!$C$108)*(6-'1-Inputs'!$C$110)/('1-Inputs'!$C$111-'1-Inputs'!$C$110)))</f>
        <v>0.02</v>
      </c>
      <c r="I19" s="59" t="n">
        <f aca="false">IF(7&lt;='1-Inputs'!$C$110,'1-Inputs'!$C$108,IF(7&gt;='1-Inputs'!$C$111,'1-Inputs'!$C$109,'1-Inputs'!$C$108+('1-Inputs'!$C$109-'1-Inputs'!$C$108)*(7-'1-Inputs'!$C$110)/('1-Inputs'!$C$111-'1-Inputs'!$C$110)))</f>
        <v>0.025</v>
      </c>
      <c r="J19" s="59" t="n">
        <f aca="false">IF(8&lt;='1-Inputs'!$C$110,'1-Inputs'!$C$108,IF(8&gt;='1-Inputs'!$C$111,'1-Inputs'!$C$109,'1-Inputs'!$C$108+('1-Inputs'!$C$109-'1-Inputs'!$C$108)*(8-'1-Inputs'!$C$110)/('1-Inputs'!$C$111-'1-Inputs'!$C$110)))</f>
        <v>0.03</v>
      </c>
      <c r="K19" s="59" t="n">
        <f aca="false">IF(9&lt;='1-Inputs'!$C$110,'1-Inputs'!$C$108,IF(9&gt;='1-Inputs'!$C$111,'1-Inputs'!$C$109,'1-Inputs'!$C$108+('1-Inputs'!$C$109-'1-Inputs'!$C$108)*(9-'1-Inputs'!$C$110)/('1-Inputs'!$C$111-'1-Inputs'!$C$110)))</f>
        <v>0.035</v>
      </c>
      <c r="L19" s="59" t="n">
        <f aca="false">IF(10&lt;='1-Inputs'!$C$110,'1-Inputs'!$C$108,IF(10&gt;='1-Inputs'!$C$111,'1-Inputs'!$C$109,'1-Inputs'!$C$108+('1-Inputs'!$C$109-'1-Inputs'!$C$108)*(10-'1-Inputs'!$C$110)/('1-Inputs'!$C$111-'1-Inputs'!$C$110)))</f>
        <v>0.04</v>
      </c>
      <c r="M19" s="59" t="n">
        <f aca="false">IF(11&lt;='1-Inputs'!$C$110,'1-Inputs'!$C$108,IF(11&gt;='1-Inputs'!$C$111,'1-Inputs'!$C$109,'1-Inputs'!$C$108+('1-Inputs'!$C$109-'1-Inputs'!$C$108)*(11-'1-Inputs'!$C$110)/('1-Inputs'!$C$111-'1-Inputs'!$C$110)))</f>
        <v>0.04</v>
      </c>
      <c r="N19" s="59" t="n">
        <f aca="false">IF(12&lt;='1-Inputs'!$C$110,'1-Inputs'!$C$108,IF(12&gt;='1-Inputs'!$C$111,'1-Inputs'!$C$109,'1-Inputs'!$C$108+('1-Inputs'!$C$109-'1-Inputs'!$C$108)*(12-'1-Inputs'!$C$110)/('1-Inputs'!$C$111-'1-Inputs'!$C$110)))</f>
        <v>0.04</v>
      </c>
      <c r="O19" s="59" t="n">
        <f aca="false">IF(13&lt;='1-Inputs'!$C$110,'1-Inputs'!$C$108,IF(13&gt;='1-Inputs'!$C$111,'1-Inputs'!$C$109,'1-Inputs'!$C$108+('1-Inputs'!$C$109-'1-Inputs'!$C$108)*(13-'1-Inputs'!$C$110)/('1-Inputs'!$C$111-'1-Inputs'!$C$110)))</f>
        <v>0.04</v>
      </c>
      <c r="P19" s="59" t="n">
        <f aca="false">IF(14&lt;='1-Inputs'!$C$110,'1-Inputs'!$C$108,IF(14&gt;='1-Inputs'!$C$111,'1-Inputs'!$C$109,'1-Inputs'!$C$108+('1-Inputs'!$C$109-'1-Inputs'!$C$108)*(14-'1-Inputs'!$C$110)/('1-Inputs'!$C$111-'1-Inputs'!$C$110)))</f>
        <v>0.04</v>
      </c>
      <c r="Q19" s="59" t="n">
        <f aca="false">IF(15&lt;='1-Inputs'!$C$110,'1-Inputs'!$C$108,IF(15&gt;='1-Inputs'!$C$111,'1-Inputs'!$C$109,'1-Inputs'!$C$108+('1-Inputs'!$C$109-'1-Inputs'!$C$108)*(15-'1-Inputs'!$C$110)/('1-Inputs'!$C$111-'1-Inputs'!$C$110)))</f>
        <v>0.04</v>
      </c>
    </row>
    <row r="20" customFormat="false" ht="15" hidden="false" customHeight="true" outlineLevel="0" collapsed="false">
      <c r="B20" s="54" t="s">
        <v>121</v>
      </c>
      <c r="C20" s="56" t="n">
        <f aca="false">C19*'3-CAPEX'!$C$15*C5*(1+'1-Inputs'!$C$161)^0</f>
        <v>387170</v>
      </c>
      <c r="D20" s="56" t="n">
        <f aca="false">D19*'3-CAPEX'!$C$15*D5*(1+'1-Inputs'!$C$161)^1</f>
        <v>479537.7</v>
      </c>
      <c r="E20" s="56" t="n">
        <f aca="false">E19*'3-CAPEX'!$C$15*E5*(1+'1-Inputs'!$C$161)^2</f>
        <v>575445.24</v>
      </c>
      <c r="F20" s="56" t="n">
        <f aca="false">F19*'3-CAPEX'!$C$15*F5*(1+'1-Inputs'!$C$161)^3</f>
        <v>586954.1448</v>
      </c>
      <c r="G20" s="56" t="n">
        <f aca="false">G19*'3-CAPEX'!$C$15*G5*(1+'1-Inputs'!$C$161)^4</f>
        <v>898039.841544</v>
      </c>
      <c r="H20" s="56" t="n">
        <f aca="false">H19*'3-CAPEX'!$C$15*H5*(1+'1-Inputs'!$C$161)^5</f>
        <v>1221334.18449984</v>
      </c>
      <c r="I20" s="56" t="n">
        <f aca="false">I19*'3-CAPEX'!$C$15*I5*(1+'1-Inputs'!$C$161)^6</f>
        <v>1557201.0852373</v>
      </c>
      <c r="J20" s="56" t="n">
        <f aca="false">J19*'3-CAPEX'!$C$15*J5*(1+'1-Inputs'!$C$161)^7</f>
        <v>1906014.12833045</v>
      </c>
      <c r="K20" s="56" t="n">
        <f aca="false">K19*'3-CAPEX'!$C$15*K5*(1+'1-Inputs'!$C$161)^8</f>
        <v>2268156.81271324</v>
      </c>
      <c r="L20" s="56" t="n">
        <f aca="false">L19*'3-CAPEX'!$C$15*L5*(1+'1-Inputs'!$C$161)^9</f>
        <v>2644022.79882</v>
      </c>
      <c r="M20" s="56" t="n">
        <f aca="false">M19*'3-CAPEX'!$C$15*M5*(1+'1-Inputs'!$C$161)^10</f>
        <v>2696903.2547964</v>
      </c>
      <c r="N20" s="56" t="n">
        <f aca="false">N19*'3-CAPEX'!$C$15*N5*(1+'1-Inputs'!$C$161)^11</f>
        <v>2750841.31989233</v>
      </c>
      <c r="O20" s="56" t="n">
        <f aca="false">O19*'3-CAPEX'!$C$15*O5*(1+'1-Inputs'!$C$161)^12</f>
        <v>2805858.14629018</v>
      </c>
      <c r="P20" s="56" t="n">
        <f aca="false">P19*'3-CAPEX'!$C$15*P5*(1+'1-Inputs'!$C$161)^13</f>
        <v>2861975.30921598</v>
      </c>
      <c r="Q20" s="56" t="n">
        <f aca="false">Q19*'3-CAPEX'!$C$15*Q5*(1+'1-Inputs'!$C$161)^14</f>
        <v>2919214.8154003</v>
      </c>
    </row>
    <row r="21" customFormat="false" ht="15" hidden="false" customHeight="true" outlineLevel="0" collapsed="false">
      <c r="B21" s="54" t="s">
        <v>107</v>
      </c>
      <c r="C21" s="56" t="n">
        <f aca="false">'1-Inputs'!$C$113*'1-Inputs'!$C$8*'1-Inputs'!$C$9*'1-Inputs'!$C$87*C5*(1+'1-Inputs'!$C$161)^0</f>
        <v>103950</v>
      </c>
      <c r="D21" s="56" t="n">
        <f aca="false">'1-Inputs'!$C$113*'1-Inputs'!$C$8*'1-Inputs'!$C$9*'1-Inputs'!$C$87*D5*(1+'1-Inputs'!$C$161)^1</f>
        <v>128749.5</v>
      </c>
      <c r="E21" s="56" t="n">
        <f aca="false">'1-Inputs'!$C$113*'1-Inputs'!$C$8*'1-Inputs'!$C$9*'1-Inputs'!$C$87*E5*(1+'1-Inputs'!$C$161)^2</f>
        <v>154499.4</v>
      </c>
      <c r="F21" s="56" t="n">
        <f aca="false">'1-Inputs'!$C$113*'1-Inputs'!$C$8*'1-Inputs'!$C$9*'1-Inputs'!$C$87*F5*(1+'1-Inputs'!$C$161)^3</f>
        <v>157589.388</v>
      </c>
      <c r="G21" s="56" t="n">
        <f aca="false">'1-Inputs'!$C$113*'1-Inputs'!$C$8*'1-Inputs'!$C$9*'1-Inputs'!$C$87*G5*(1+'1-Inputs'!$C$161)^4</f>
        <v>160741.17576</v>
      </c>
      <c r="H21" s="56" t="n">
        <f aca="false">'1-Inputs'!$C$113*'1-Inputs'!$C$8*'1-Inputs'!$C$9*'1-Inputs'!$C$87*H5*(1+'1-Inputs'!$C$161)^5</f>
        <v>163955.9992752</v>
      </c>
      <c r="I21" s="56" t="n">
        <f aca="false">'1-Inputs'!$C$113*'1-Inputs'!$C$8*'1-Inputs'!$C$9*'1-Inputs'!$C$87*I5*(1+'1-Inputs'!$C$161)^6</f>
        <v>167235.119260704</v>
      </c>
      <c r="J21" s="56" t="n">
        <f aca="false">'1-Inputs'!$C$113*'1-Inputs'!$C$8*'1-Inputs'!$C$9*'1-Inputs'!$C$87*J5*(1+'1-Inputs'!$C$161)^7</f>
        <v>170579.821645918</v>
      </c>
      <c r="K21" s="56" t="n">
        <f aca="false">'1-Inputs'!$C$113*'1-Inputs'!$C$8*'1-Inputs'!$C$9*'1-Inputs'!$C$87*K5*(1+'1-Inputs'!$C$161)^8</f>
        <v>173991.418078836</v>
      </c>
      <c r="L21" s="56" t="n">
        <f aca="false">'1-Inputs'!$C$113*'1-Inputs'!$C$8*'1-Inputs'!$C$9*'1-Inputs'!$C$87*L5*(1+'1-Inputs'!$C$161)^9</f>
        <v>177471.246440413</v>
      </c>
      <c r="M21" s="56" t="n">
        <f aca="false">'1-Inputs'!$C$113*'1-Inputs'!$C$8*'1-Inputs'!$C$9*'1-Inputs'!$C$87*M5*(1+'1-Inputs'!$C$161)^10</f>
        <v>181020.671369221</v>
      </c>
      <c r="N21" s="56" t="n">
        <f aca="false">'1-Inputs'!$C$113*'1-Inputs'!$C$8*'1-Inputs'!$C$9*'1-Inputs'!$C$87*N5*(1+'1-Inputs'!$C$161)^11</f>
        <v>184641.084796606</v>
      </c>
      <c r="O21" s="56" t="n">
        <f aca="false">'1-Inputs'!$C$113*'1-Inputs'!$C$8*'1-Inputs'!$C$9*'1-Inputs'!$C$87*O5*(1+'1-Inputs'!$C$161)^12</f>
        <v>188333.906492538</v>
      </c>
      <c r="P21" s="56" t="n">
        <f aca="false">'1-Inputs'!$C$113*'1-Inputs'!$C$8*'1-Inputs'!$C$9*'1-Inputs'!$C$87*P5*(1+'1-Inputs'!$C$161)^13</f>
        <v>192100.584622389</v>
      </c>
      <c r="Q21" s="56" t="n">
        <f aca="false">'1-Inputs'!$C$113*'1-Inputs'!$C$8*'1-Inputs'!$C$9*'1-Inputs'!$C$87*Q5*(1+'1-Inputs'!$C$161)^14</f>
        <v>195942.596314837</v>
      </c>
    </row>
    <row r="22" customFormat="false" ht="15" hidden="false" customHeight="true" outlineLevel="0" collapsed="false">
      <c r="B22" s="54" t="s">
        <v>839</v>
      </c>
      <c r="C22" s="60" t="n">
        <f aca="false">'2-Production'!D37*'1-Inputs'!$C$9*'1-Inputs'!$C$86*C5*(1+'1-Inputs'!$C$161)^0</f>
        <v>129074.647058824</v>
      </c>
      <c r="D22" s="60" t="n">
        <f aca="false">'2-Production'!D37*'1-Inputs'!$C$9*'1-Inputs'!$C$86*D5*(1+'1-Inputs'!$C$161)^1</f>
        <v>159868.17</v>
      </c>
      <c r="E22" s="60" t="n">
        <f aca="false">'2-Production'!D37*'1-Inputs'!$C$9*'1-Inputs'!$C$86*E5*(1+'1-Inputs'!$C$161)^2</f>
        <v>191841.804</v>
      </c>
      <c r="F22" s="60" t="n">
        <f aca="false">'2-Production'!D37*'1-Inputs'!$C$9*'1-Inputs'!$C$86*F5*(1+'1-Inputs'!$C$161)^3</f>
        <v>195678.64008</v>
      </c>
      <c r="G22" s="60" t="n">
        <f aca="false">'2-Production'!D37*'1-Inputs'!$C$9*'1-Inputs'!$C$86*G5*(1+'1-Inputs'!$C$161)^4</f>
        <v>199592.2128816</v>
      </c>
      <c r="H22" s="60" t="n">
        <f aca="false">'2-Production'!D37*'1-Inputs'!$C$9*'1-Inputs'!$C$86*H5*(1+'1-Inputs'!$C$161)^5</f>
        <v>203584.057139232</v>
      </c>
      <c r="I22" s="60" t="n">
        <f aca="false">'2-Production'!D37*'1-Inputs'!$C$9*'1-Inputs'!$C$86*I5*(1+'1-Inputs'!$C$161)^6</f>
        <v>207655.738282017</v>
      </c>
      <c r="J22" s="60" t="n">
        <f aca="false">'2-Production'!D37*'1-Inputs'!$C$9*'1-Inputs'!$C$86*J5*(1+'1-Inputs'!$C$161)^7</f>
        <v>211808.853047657</v>
      </c>
      <c r="K22" s="60" t="n">
        <f aca="false">'2-Production'!D37*'1-Inputs'!$C$9*'1-Inputs'!$C$86*K5*(1+'1-Inputs'!$C$161)^8</f>
        <v>216045.03010861</v>
      </c>
      <c r="L22" s="60" t="n">
        <f aca="false">'2-Production'!D37*'1-Inputs'!$C$9*'1-Inputs'!$C$86*L5*(1+'1-Inputs'!$C$161)^9</f>
        <v>220365.930710782</v>
      </c>
      <c r="M22" s="60" t="n">
        <f aca="false">'2-Production'!D37*'1-Inputs'!$C$9*'1-Inputs'!$C$86*M5*(1+'1-Inputs'!$C$161)^10</f>
        <v>224773.249324998</v>
      </c>
      <c r="N22" s="60" t="n">
        <f aca="false">'2-Production'!D37*'1-Inputs'!$C$9*'1-Inputs'!$C$86*N5*(1+'1-Inputs'!$C$161)^11</f>
        <v>229268.714311498</v>
      </c>
      <c r="O22" s="60" t="n">
        <f aca="false">'2-Production'!D37*'1-Inputs'!$C$9*'1-Inputs'!$C$86*O5*(1+'1-Inputs'!$C$161)^12</f>
        <v>233854.088597728</v>
      </c>
      <c r="P22" s="60" t="n">
        <f aca="false">'2-Production'!D37*'1-Inputs'!$C$9*'1-Inputs'!$C$86*P5*(1+'1-Inputs'!$C$161)^13</f>
        <v>238531.170369683</v>
      </c>
      <c r="Q22" s="60" t="n">
        <f aca="false">'2-Production'!D37*'1-Inputs'!$C$9*'1-Inputs'!$C$86*Q5*(1+'1-Inputs'!$C$161)^14</f>
        <v>243301.793777076</v>
      </c>
    </row>
    <row r="23" customFormat="false" ht="15" hidden="false" customHeight="true" outlineLevel="0" collapsed="false">
      <c r="B23" s="54" t="s">
        <v>1050</v>
      </c>
      <c r="C23" s="56" t="n">
        <f aca="false">'2-Production'!D56*'1-Inputs'!$C$85*C5*(1+'1-Inputs'!$C$161)^0</f>
        <v>494920.37669363</v>
      </c>
      <c r="D23" s="56" t="n">
        <f aca="false">'2-Production'!D56*'1-Inputs'!$C$85*D5*(1+'1-Inputs'!$C$161)^1</f>
        <v>612994.237990539</v>
      </c>
      <c r="E23" s="56" t="n">
        <f aca="false">'2-Production'!D56*'1-Inputs'!$C$85*E5*(1+'1-Inputs'!$C$161)^2</f>
        <v>735593.085588647</v>
      </c>
      <c r="F23" s="56" t="n">
        <f aca="false">'2-Production'!D56*'1-Inputs'!$C$85*F5*(1+'1-Inputs'!$C$161)^3</f>
        <v>750304.94730042</v>
      </c>
      <c r="G23" s="56" t="n">
        <f aca="false">'2-Production'!D56*'1-Inputs'!$C$85*G5*(1+'1-Inputs'!$C$161)^4</f>
        <v>765311.046246428</v>
      </c>
      <c r="H23" s="56" t="n">
        <f aca="false">'2-Production'!D56*'1-Inputs'!$C$85*H5*(1+'1-Inputs'!$C$161)^5</f>
        <v>780617.267171357</v>
      </c>
      <c r="I23" s="56" t="n">
        <f aca="false">'2-Production'!D56*'1-Inputs'!$C$85*I5*(1+'1-Inputs'!$C$161)^6</f>
        <v>796229.612514784</v>
      </c>
      <c r="J23" s="56" t="n">
        <f aca="false">'2-Production'!D56*'1-Inputs'!$C$85*J5*(1+'1-Inputs'!$C$161)^7</f>
        <v>812154.20476508</v>
      </c>
      <c r="K23" s="56" t="n">
        <f aca="false">'2-Production'!D56*'1-Inputs'!$C$85*K5*(1+'1-Inputs'!$C$161)^8</f>
        <v>828397.288860381</v>
      </c>
      <c r="L23" s="56" t="n">
        <f aca="false">'2-Production'!D56*'1-Inputs'!$C$85*L5*(1+'1-Inputs'!$C$161)^9</f>
        <v>844965.234637589</v>
      </c>
      <c r="M23" s="56" t="n">
        <f aca="false">'2-Production'!D56*'1-Inputs'!$C$85*M5*(1+'1-Inputs'!$C$161)^10</f>
        <v>861864.539330341</v>
      </c>
      <c r="N23" s="56" t="n">
        <f aca="false">'2-Production'!D56*'1-Inputs'!$C$85*N5*(1+'1-Inputs'!$C$161)^11</f>
        <v>879101.830116948</v>
      </c>
      <c r="O23" s="56" t="n">
        <f aca="false">'2-Production'!D56*'1-Inputs'!$C$85*O5*(1+'1-Inputs'!$C$161)^12</f>
        <v>896683.866719286</v>
      </c>
      <c r="P23" s="56" t="n">
        <f aca="false">'2-Production'!D56*'1-Inputs'!$C$85*P5*(1+'1-Inputs'!$C$161)^13</f>
        <v>914617.544053672</v>
      </c>
      <c r="Q23" s="56" t="n">
        <f aca="false">'2-Production'!D56*'1-Inputs'!$C$85*Q5*(1+'1-Inputs'!$C$161)^14</f>
        <v>932909.894934746</v>
      </c>
    </row>
    <row r="24" customFormat="false" ht="15" hidden="false" customHeight="true" outlineLevel="0" collapsed="false">
      <c r="B24" s="54" t="s">
        <v>1051</v>
      </c>
      <c r="C24" s="60" t="n">
        <f aca="false">'1-Inputs'!$C$115*'1-Inputs'!$C$8*C5*(1+'1-Inputs'!$C$161)^0</f>
        <v>105000</v>
      </c>
      <c r="D24" s="60" t="n">
        <f aca="false">'1-Inputs'!$C$115*'1-Inputs'!$C$8*D5*(1+'1-Inputs'!$C$161)^1</f>
        <v>130050</v>
      </c>
      <c r="E24" s="60" t="n">
        <f aca="false">'1-Inputs'!$C$115*'1-Inputs'!$C$8*E5*(1+'1-Inputs'!$C$161)^2</f>
        <v>156060</v>
      </c>
      <c r="F24" s="60" t="n">
        <f aca="false">'1-Inputs'!$C$115*'1-Inputs'!$C$8*F5*(1+'1-Inputs'!$C$161)^3</f>
        <v>159181.2</v>
      </c>
      <c r="G24" s="60" t="n">
        <f aca="false">'1-Inputs'!$C$115*'1-Inputs'!$C$8*G5*(1+'1-Inputs'!$C$161)^4</f>
        <v>162364.824</v>
      </c>
      <c r="H24" s="60" t="n">
        <f aca="false">'1-Inputs'!$C$115*'1-Inputs'!$C$8*H5*(1+'1-Inputs'!$C$161)^5</f>
        <v>165612.12048</v>
      </c>
      <c r="I24" s="60" t="n">
        <f aca="false">'1-Inputs'!$C$115*'1-Inputs'!$C$8*I5*(1+'1-Inputs'!$C$161)^6</f>
        <v>168924.3628896</v>
      </c>
      <c r="J24" s="60" t="n">
        <f aca="false">'1-Inputs'!$C$115*'1-Inputs'!$C$8*J5*(1+'1-Inputs'!$C$161)^7</f>
        <v>172302.850147392</v>
      </c>
      <c r="K24" s="60" t="n">
        <f aca="false">'1-Inputs'!$C$115*'1-Inputs'!$C$8*K5*(1+'1-Inputs'!$C$161)^8</f>
        <v>175748.90715034</v>
      </c>
      <c r="L24" s="60" t="n">
        <f aca="false">'1-Inputs'!$C$115*'1-Inputs'!$C$8*L5*(1+'1-Inputs'!$C$161)^9</f>
        <v>179263.885293347</v>
      </c>
      <c r="M24" s="60" t="n">
        <f aca="false">'1-Inputs'!$C$115*'1-Inputs'!$C$8*M5*(1+'1-Inputs'!$C$161)^10</f>
        <v>182849.162999214</v>
      </c>
      <c r="N24" s="60" t="n">
        <f aca="false">'1-Inputs'!$C$115*'1-Inputs'!$C$8*N5*(1+'1-Inputs'!$C$161)^11</f>
        <v>186506.146259198</v>
      </c>
      <c r="O24" s="60" t="n">
        <f aca="false">'1-Inputs'!$C$115*'1-Inputs'!$C$8*O5*(1+'1-Inputs'!$C$161)^12</f>
        <v>190236.269184382</v>
      </c>
      <c r="P24" s="60" t="n">
        <f aca="false">'1-Inputs'!$C$115*'1-Inputs'!$C$8*P5*(1+'1-Inputs'!$C$161)^13</f>
        <v>194040.99456807</v>
      </c>
      <c r="Q24" s="60" t="n">
        <f aca="false">'1-Inputs'!$C$115*'1-Inputs'!$C$8*Q5*(1+'1-Inputs'!$C$161)^14</f>
        <v>197921.814459431</v>
      </c>
    </row>
    <row r="25" customFormat="false" ht="15" hidden="false" customHeight="true" outlineLevel="0" collapsed="false">
      <c r="B25" s="54" t="s">
        <v>1052</v>
      </c>
      <c r="C25" s="60" t="n">
        <f aca="false">'1-Inputs'!$C$116*'1-Inputs'!$C$8*(1+'1-Inputs'!$C$161)^0</f>
        <v>15000</v>
      </c>
      <c r="D25" s="60" t="n">
        <f aca="false">'1-Inputs'!$C$116*'1-Inputs'!$C$8*(1+'1-Inputs'!$C$161)^1</f>
        <v>15300</v>
      </c>
      <c r="E25" s="60" t="n">
        <f aca="false">'1-Inputs'!$C$116*'1-Inputs'!$C$8*(1+'1-Inputs'!$C$161)^2</f>
        <v>15606</v>
      </c>
      <c r="F25" s="60" t="n">
        <f aca="false">'1-Inputs'!$C$116*'1-Inputs'!$C$8*(1+'1-Inputs'!$C$161)^3</f>
        <v>15918.12</v>
      </c>
      <c r="G25" s="60" t="n">
        <f aca="false">'1-Inputs'!$C$116*'1-Inputs'!$C$8*(1+'1-Inputs'!$C$161)^4</f>
        <v>16236.4824</v>
      </c>
      <c r="H25" s="60" t="n">
        <f aca="false">'1-Inputs'!$C$116*'1-Inputs'!$C$8*(1+'1-Inputs'!$C$161)^5</f>
        <v>16561.212048</v>
      </c>
      <c r="I25" s="60" t="n">
        <f aca="false">'1-Inputs'!$C$116*'1-Inputs'!$C$8*(1+'1-Inputs'!$C$161)^6</f>
        <v>16892.43628896</v>
      </c>
      <c r="J25" s="60" t="n">
        <f aca="false">'1-Inputs'!$C$116*'1-Inputs'!$C$8*(1+'1-Inputs'!$C$161)^7</f>
        <v>17230.2850147392</v>
      </c>
      <c r="K25" s="60" t="n">
        <f aca="false">'1-Inputs'!$C$116*'1-Inputs'!$C$8*(1+'1-Inputs'!$C$161)^8</f>
        <v>17574.890715034</v>
      </c>
      <c r="L25" s="60" t="n">
        <f aca="false">'1-Inputs'!$C$116*'1-Inputs'!$C$8*(1+'1-Inputs'!$C$161)^9</f>
        <v>17926.3885293347</v>
      </c>
      <c r="M25" s="60" t="n">
        <f aca="false">'1-Inputs'!$C$116*'1-Inputs'!$C$8*(1+'1-Inputs'!$C$161)^10</f>
        <v>18284.9162999214</v>
      </c>
      <c r="N25" s="60" t="n">
        <f aca="false">'1-Inputs'!$C$116*'1-Inputs'!$C$8*(1+'1-Inputs'!$C$161)^11</f>
        <v>18650.6146259198</v>
      </c>
      <c r="O25" s="60" t="n">
        <f aca="false">'1-Inputs'!$C$116*'1-Inputs'!$C$8*(1+'1-Inputs'!$C$161)^12</f>
        <v>19023.6269184382</v>
      </c>
      <c r="P25" s="60" t="n">
        <f aca="false">'1-Inputs'!$C$116*'1-Inputs'!$C$8*(1+'1-Inputs'!$C$161)^13</f>
        <v>19404.0994568069</v>
      </c>
      <c r="Q25" s="60" t="n">
        <f aca="false">'1-Inputs'!$C$116*'1-Inputs'!$C$8*(1+'1-Inputs'!$C$161)^14</f>
        <v>19792.1814459431</v>
      </c>
    </row>
    <row r="26" customFormat="false" ht="15" hidden="false" customHeight="true" outlineLevel="0" collapsed="false">
      <c r="B26" s="54" t="s">
        <v>1053</v>
      </c>
      <c r="C26" s="60" t="n">
        <f aca="false">'2-Production'!D50*'1-Inputs'!$C$120*C5*(1+'1-Inputs'!$C$161)^0</f>
        <v>20709.1183561643</v>
      </c>
      <c r="D26" s="60" t="n">
        <f aca="false">'2-Production'!D50*'1-Inputs'!$C$120*D5*(1+'1-Inputs'!$C$161)^1</f>
        <v>25649.7223068492</v>
      </c>
      <c r="E26" s="60" t="n">
        <f aca="false">'2-Production'!D50*'1-Inputs'!$C$120*E5*(1+'1-Inputs'!$C$161)^2</f>
        <v>30779.6667682191</v>
      </c>
      <c r="F26" s="60" t="n">
        <f aca="false">'2-Production'!D50*'1-Inputs'!$C$120*F5*(1+'1-Inputs'!$C$161)^3</f>
        <v>31395.2601035834</v>
      </c>
      <c r="G26" s="60" t="n">
        <f aca="false">'2-Production'!D50*'1-Inputs'!$C$120*G5*(1+'1-Inputs'!$C$161)^4</f>
        <v>32023.1653056551</v>
      </c>
      <c r="H26" s="60" t="n">
        <f aca="false">'2-Production'!D50*'1-Inputs'!$C$120*H5*(1+'1-Inputs'!$C$161)^5</f>
        <v>32663.6286117682</v>
      </c>
      <c r="I26" s="60" t="n">
        <f aca="false">'2-Production'!D50*'1-Inputs'!$C$120*I5*(1+'1-Inputs'!$C$161)^6</f>
        <v>33316.9011840036</v>
      </c>
      <c r="J26" s="60" t="n">
        <f aca="false">'2-Production'!D50*'1-Inputs'!$C$120*J5*(1+'1-Inputs'!$C$161)^7</f>
        <v>33983.2392076837</v>
      </c>
      <c r="K26" s="60" t="n">
        <f aca="false">'2-Production'!D50*'1-Inputs'!$C$120*K5*(1+'1-Inputs'!$C$161)^8</f>
        <v>34662.9039918373</v>
      </c>
      <c r="L26" s="60" t="n">
        <f aca="false">'2-Production'!D50*'1-Inputs'!$C$120*L5*(1+'1-Inputs'!$C$161)^9</f>
        <v>35356.1620716741</v>
      </c>
      <c r="M26" s="60" t="n">
        <f aca="false">'2-Production'!D50*'1-Inputs'!$C$120*M5*(1+'1-Inputs'!$C$161)^10</f>
        <v>36063.2853131076</v>
      </c>
      <c r="N26" s="60" t="n">
        <f aca="false">'2-Production'!D50*'1-Inputs'!$C$120*N5*(1+'1-Inputs'!$C$161)^11</f>
        <v>36784.5510193697</v>
      </c>
      <c r="O26" s="60" t="n">
        <f aca="false">'2-Production'!D50*'1-Inputs'!$C$120*O5*(1+'1-Inputs'!$C$161)^12</f>
        <v>37520.2420397571</v>
      </c>
      <c r="P26" s="60" t="n">
        <f aca="false">'2-Production'!D50*'1-Inputs'!$C$120*P5*(1+'1-Inputs'!$C$161)^13</f>
        <v>38270.6468805522</v>
      </c>
      <c r="Q26" s="60" t="n">
        <f aca="false">'2-Production'!D50*'1-Inputs'!$C$120*Q5*(1+'1-Inputs'!$C$161)^14</f>
        <v>39036.0598181633</v>
      </c>
    </row>
    <row r="27" customFormat="false" ht="15" hidden="false" customHeight="true" outlineLevel="0" collapsed="false">
      <c r="B27" s="54" t="s">
        <v>1054</v>
      </c>
      <c r="C27" s="60" t="n">
        <f aca="false">'1-Inputs'!$C$121*'1-Inputs'!$C$8*C5*(1+'1-Inputs'!$C$161)^0</f>
        <v>28000</v>
      </c>
      <c r="D27" s="60" t="n">
        <f aca="false">'1-Inputs'!$C$121*'1-Inputs'!$C$8*D5*(1+'1-Inputs'!$C$161)^1</f>
        <v>34680</v>
      </c>
      <c r="E27" s="60" t="n">
        <f aca="false">'1-Inputs'!$C$121*'1-Inputs'!$C$8*E5*(1+'1-Inputs'!$C$161)^2</f>
        <v>41616</v>
      </c>
      <c r="F27" s="60" t="n">
        <f aca="false">'1-Inputs'!$C$121*'1-Inputs'!$C$8*F5*(1+'1-Inputs'!$C$161)^3</f>
        <v>42448.32</v>
      </c>
      <c r="G27" s="60" t="n">
        <f aca="false">'1-Inputs'!$C$121*'1-Inputs'!$C$8*G5*(1+'1-Inputs'!$C$161)^4</f>
        <v>43297.2864</v>
      </c>
      <c r="H27" s="60" t="n">
        <f aca="false">'1-Inputs'!$C$121*'1-Inputs'!$C$8*H5*(1+'1-Inputs'!$C$161)^5</f>
        <v>44163.232128</v>
      </c>
      <c r="I27" s="60" t="n">
        <f aca="false">'1-Inputs'!$C$121*'1-Inputs'!$C$8*I5*(1+'1-Inputs'!$C$161)^6</f>
        <v>45046.49677056</v>
      </c>
      <c r="J27" s="60" t="n">
        <f aca="false">'1-Inputs'!$C$121*'1-Inputs'!$C$8*J5*(1+'1-Inputs'!$C$161)^7</f>
        <v>45947.4267059712</v>
      </c>
      <c r="K27" s="60" t="n">
        <f aca="false">'1-Inputs'!$C$121*'1-Inputs'!$C$8*K5*(1+'1-Inputs'!$C$161)^8</f>
        <v>46866.3752400906</v>
      </c>
      <c r="L27" s="60" t="n">
        <f aca="false">'1-Inputs'!$C$121*'1-Inputs'!$C$8*L5*(1+'1-Inputs'!$C$161)^9</f>
        <v>47803.7027448924</v>
      </c>
      <c r="M27" s="60" t="n">
        <f aca="false">'1-Inputs'!$C$121*'1-Inputs'!$C$8*M5*(1+'1-Inputs'!$C$161)^10</f>
        <v>48759.7767997903</v>
      </c>
      <c r="N27" s="60" t="n">
        <f aca="false">'1-Inputs'!$C$121*'1-Inputs'!$C$8*N5*(1+'1-Inputs'!$C$161)^11</f>
        <v>49734.9723357861</v>
      </c>
      <c r="O27" s="60" t="n">
        <f aca="false">'1-Inputs'!$C$121*'1-Inputs'!$C$8*O5*(1+'1-Inputs'!$C$161)^12</f>
        <v>50729.6717825018</v>
      </c>
      <c r="P27" s="60" t="n">
        <f aca="false">'1-Inputs'!$C$121*'1-Inputs'!$C$8*P5*(1+'1-Inputs'!$C$161)^13</f>
        <v>51744.2652181519</v>
      </c>
      <c r="Q27" s="60" t="n">
        <f aca="false">'1-Inputs'!$C$121*'1-Inputs'!$C$8*Q5*(1+'1-Inputs'!$C$161)^14</f>
        <v>52779.1505225149</v>
      </c>
    </row>
    <row r="28" customFormat="false" ht="15" hidden="false" customHeight="true" outlineLevel="0" collapsed="false">
      <c r="B28" s="54" t="s">
        <v>1055</v>
      </c>
      <c r="C28" s="60" t="n">
        <f aca="false">'2-Production'!D55*'1-Inputs'!$C$118*C5*(1+'1-Inputs'!$C$161)^0</f>
        <v>77880.9594049314</v>
      </c>
      <c r="D28" s="60" t="n">
        <f aca="false">'2-Production'!D55*'1-Inputs'!$C$118*D5*(1+'1-Inputs'!$C$161)^1</f>
        <v>96461.1311486794</v>
      </c>
      <c r="E28" s="60" t="n">
        <f aca="false">'2-Production'!D55*'1-Inputs'!$C$118*E5*(1+'1-Inputs'!$C$161)^2</f>
        <v>115753.357378415</v>
      </c>
      <c r="F28" s="60" t="n">
        <f aca="false">'2-Production'!D55*'1-Inputs'!$C$118*F5*(1+'1-Inputs'!$C$161)^3</f>
        <v>118068.424525984</v>
      </c>
      <c r="G28" s="60" t="n">
        <f aca="false">'2-Production'!D55*'1-Inputs'!$C$118*G5*(1+'1-Inputs'!$C$161)^4</f>
        <v>120429.793016503</v>
      </c>
      <c r="H28" s="60" t="n">
        <f aca="false">'2-Production'!D55*'1-Inputs'!$C$118*H5*(1+'1-Inputs'!$C$161)^5</f>
        <v>122838.388876833</v>
      </c>
      <c r="I28" s="60" t="n">
        <f aca="false">'2-Production'!D55*'1-Inputs'!$C$118*I5*(1+'1-Inputs'!$C$161)^6</f>
        <v>125295.15665437</v>
      </c>
      <c r="J28" s="60" t="n">
        <f aca="false">'2-Production'!D55*'1-Inputs'!$C$118*J5*(1+'1-Inputs'!$C$161)^7</f>
        <v>127801.059787457</v>
      </c>
      <c r="K28" s="60" t="n">
        <f aca="false">'2-Production'!D55*'1-Inputs'!$C$118*K5*(1+'1-Inputs'!$C$161)^8</f>
        <v>130357.080983207</v>
      </c>
      <c r="L28" s="60" t="n">
        <f aca="false">'2-Production'!D55*'1-Inputs'!$C$118*L5*(1+'1-Inputs'!$C$161)^9</f>
        <v>132964.222602871</v>
      </c>
      <c r="M28" s="60" t="n">
        <f aca="false">'2-Production'!D55*'1-Inputs'!$C$118*M5*(1+'1-Inputs'!$C$161)^10</f>
        <v>135623.507054928</v>
      </c>
      <c r="N28" s="60" t="n">
        <f aca="false">'2-Production'!D55*'1-Inputs'!$C$118*N5*(1+'1-Inputs'!$C$161)^11</f>
        <v>138335.977196027</v>
      </c>
      <c r="O28" s="60" t="n">
        <f aca="false">'2-Production'!D55*'1-Inputs'!$C$118*O5*(1+'1-Inputs'!$C$161)^12</f>
        <v>141102.696739947</v>
      </c>
      <c r="P28" s="60" t="n">
        <f aca="false">'2-Production'!D55*'1-Inputs'!$C$118*P5*(1+'1-Inputs'!$C$161)^13</f>
        <v>143924.750674746</v>
      </c>
      <c r="Q28" s="60" t="n">
        <f aca="false">'2-Production'!D55*'1-Inputs'!$C$118*Q5*(1+'1-Inputs'!$C$161)^14</f>
        <v>146803.245688241</v>
      </c>
    </row>
    <row r="29" customFormat="false" ht="15" hidden="false" customHeight="true" outlineLevel="0" collapsed="false">
      <c r="B29" s="54" t="s">
        <v>117</v>
      </c>
      <c r="C29" s="56" t="n">
        <f aca="false">'1-Inputs'!$C$114*'3-CAPEX'!$C$31*(1+'1-Inputs'!$C$161)^0</f>
        <v>320298.75</v>
      </c>
      <c r="D29" s="56" t="n">
        <f aca="false">'1-Inputs'!$C$114*'3-CAPEX'!$C$31*(1+'1-Inputs'!$C$161)^1</f>
        <v>326704.725</v>
      </c>
      <c r="E29" s="56" t="n">
        <f aca="false">'1-Inputs'!$C$114*'3-CAPEX'!$C$31*(1+'1-Inputs'!$C$161)^2</f>
        <v>333238.8195</v>
      </c>
      <c r="F29" s="56" t="n">
        <f aca="false">'1-Inputs'!$C$114*'3-CAPEX'!$C$31*(1+'1-Inputs'!$C$161)^3</f>
        <v>339903.59589</v>
      </c>
      <c r="G29" s="56" t="n">
        <f aca="false">'1-Inputs'!$C$114*'3-CAPEX'!$C$31*(1+'1-Inputs'!$C$161)^4</f>
        <v>346701.6678078</v>
      </c>
      <c r="H29" s="56" t="n">
        <f aca="false">'1-Inputs'!$C$114*'3-CAPEX'!$C$31*(1+'1-Inputs'!$C$161)^5</f>
        <v>353635.701163956</v>
      </c>
      <c r="I29" s="56" t="n">
        <f aca="false">'1-Inputs'!$C$114*'3-CAPEX'!$C$31*(1+'1-Inputs'!$C$161)^6</f>
        <v>360708.415187235</v>
      </c>
      <c r="J29" s="56" t="n">
        <f aca="false">'1-Inputs'!$C$114*'3-CAPEX'!$C$31*(1+'1-Inputs'!$C$161)^7</f>
        <v>367922.58349098</v>
      </c>
      <c r="K29" s="56" t="n">
        <f aca="false">'1-Inputs'!$C$114*'3-CAPEX'!$C$31*(1+'1-Inputs'!$C$161)^8</f>
        <v>375281.035160799</v>
      </c>
      <c r="L29" s="56" t="n">
        <f aca="false">'1-Inputs'!$C$114*'3-CAPEX'!$C$31*(1+'1-Inputs'!$C$161)^9</f>
        <v>382786.655864015</v>
      </c>
      <c r="M29" s="56" t="n">
        <f aca="false">'1-Inputs'!$C$114*'3-CAPEX'!$C$31*(1+'1-Inputs'!$C$161)^10</f>
        <v>390442.388981296</v>
      </c>
      <c r="N29" s="56" t="n">
        <f aca="false">'1-Inputs'!$C$114*'3-CAPEX'!$C$31*(1+'1-Inputs'!$C$161)^11</f>
        <v>398251.236760922</v>
      </c>
      <c r="O29" s="56" t="n">
        <f aca="false">'1-Inputs'!$C$114*'3-CAPEX'!$C$31*(1+'1-Inputs'!$C$161)^12</f>
        <v>406216.26149614</v>
      </c>
      <c r="P29" s="56" t="n">
        <f aca="false">'1-Inputs'!$C$114*'3-CAPEX'!$C$31*(1+'1-Inputs'!$C$161)^13</f>
        <v>414340.586726063</v>
      </c>
      <c r="Q29" s="56" t="n">
        <f aca="false">'1-Inputs'!$C$114*'3-CAPEX'!$C$31*(1+'1-Inputs'!$C$161)^14</f>
        <v>422627.398460584</v>
      </c>
    </row>
    <row r="30" customFormat="false" ht="15" hidden="false" customHeight="true" outlineLevel="0" collapsed="false">
      <c r="B30" s="54" t="s">
        <v>119</v>
      </c>
      <c r="C30" s="56" t="n">
        <f aca="false">'1-Inputs'!$C$112*'3-CAPEX'!$C$31*C5*(1+'1-Inputs'!$C$161)^0</f>
        <v>896836.5</v>
      </c>
      <c r="D30" s="56" t="n">
        <f aca="false">'1-Inputs'!$C$112*'3-CAPEX'!$C$31*D5*(1+'1-Inputs'!$C$161)^1</f>
        <v>1110796.065</v>
      </c>
      <c r="E30" s="56" t="n">
        <f aca="false">'1-Inputs'!$C$112*'3-CAPEX'!$C$31*E5*(1+'1-Inputs'!$C$161)^2</f>
        <v>1332955.278</v>
      </c>
      <c r="F30" s="56" t="n">
        <f aca="false">'1-Inputs'!$C$112*'3-CAPEX'!$C$31*F5*(1+'1-Inputs'!$C$161)^3</f>
        <v>1359614.38356</v>
      </c>
      <c r="G30" s="56" t="n">
        <f aca="false">'1-Inputs'!$C$112*'3-CAPEX'!$C$31*G5*(1+'1-Inputs'!$C$161)^4</f>
        <v>1386806.6712312</v>
      </c>
      <c r="H30" s="56" t="n">
        <f aca="false">'1-Inputs'!$C$112*'3-CAPEX'!$C$31*H5*(1+'1-Inputs'!$C$161)^5</f>
        <v>1414542.80465582</v>
      </c>
      <c r="I30" s="56" t="n">
        <f aca="false">'1-Inputs'!$C$112*'3-CAPEX'!$C$31*I5*(1+'1-Inputs'!$C$161)^6</f>
        <v>1442833.66074894</v>
      </c>
      <c r="J30" s="56" t="n">
        <f aca="false">'1-Inputs'!$C$112*'3-CAPEX'!$C$31*J5*(1+'1-Inputs'!$C$161)^7</f>
        <v>1471690.33396392</v>
      </c>
      <c r="K30" s="56" t="n">
        <f aca="false">'1-Inputs'!$C$112*'3-CAPEX'!$C$31*K5*(1+'1-Inputs'!$C$161)^8</f>
        <v>1501124.1406432</v>
      </c>
      <c r="L30" s="56" t="n">
        <f aca="false">'1-Inputs'!$C$112*'3-CAPEX'!$C$31*L5*(1+'1-Inputs'!$C$161)^9</f>
        <v>1531146.62345606</v>
      </c>
      <c r="M30" s="56" t="n">
        <f aca="false">'1-Inputs'!$C$112*'3-CAPEX'!$C$31*M5*(1+'1-Inputs'!$C$161)^10</f>
        <v>1561769.55592518</v>
      </c>
      <c r="N30" s="56" t="n">
        <f aca="false">'1-Inputs'!$C$112*'3-CAPEX'!$C$31*N5*(1+'1-Inputs'!$C$161)^11</f>
        <v>1593004.94704369</v>
      </c>
      <c r="O30" s="56" t="n">
        <f aca="false">'1-Inputs'!$C$112*'3-CAPEX'!$C$31*O5*(1+'1-Inputs'!$C$161)^12</f>
        <v>1624865.04598456</v>
      </c>
      <c r="P30" s="56" t="n">
        <f aca="false">'1-Inputs'!$C$112*'3-CAPEX'!$C$31*P5*(1+'1-Inputs'!$C$161)^13</f>
        <v>1657362.34690425</v>
      </c>
      <c r="Q30" s="56" t="n">
        <f aca="false">'1-Inputs'!$C$112*'3-CAPEX'!$C$31*Q5*(1+'1-Inputs'!$C$161)^14</f>
        <v>1690509.59384234</v>
      </c>
    </row>
    <row r="31" customFormat="false" ht="15" hidden="false" customHeight="true" outlineLevel="0" collapsed="false">
      <c r="B31" s="57" t="s">
        <v>1056</v>
      </c>
      <c r="C31" s="58" t="n">
        <f aca="false">C18+SUM(C20:C30)</f>
        <v>3441240.35151355</v>
      </c>
      <c r="D31" s="58" t="n">
        <f aca="false">D18+SUM(D20:D30)</f>
        <v>4188935.25144607</v>
      </c>
      <c r="E31" s="58" t="n">
        <f aca="false">E18+SUM(E20:E30)</f>
        <v>4965161.45123528</v>
      </c>
      <c r="F31" s="58" t="n">
        <f aca="false">F18+SUM(F20:F30)</f>
        <v>5064464.68025999</v>
      </c>
      <c r="G31" s="58" t="n">
        <f aca="false">G18+SUM(G20:G30)</f>
        <v>5465100.58771319</v>
      </c>
      <c r="H31" s="58" t="n">
        <f aca="false">H18+SUM(H20:H30)</f>
        <v>5879736.14559241</v>
      </c>
      <c r="I31" s="58" t="n">
        <f aca="false">I18+SUM(I20:I30)</f>
        <v>6308771.08555172</v>
      </c>
      <c r="J31" s="58" t="n">
        <f aca="false">J18+SUM(J20:J30)</f>
        <v>6752615.52865116</v>
      </c>
      <c r="K31" s="58" t="n">
        <f aca="false">K18+SUM(K20:K30)</f>
        <v>7211690.24104036</v>
      </c>
      <c r="L31" s="58" t="n">
        <f aca="false">L18+SUM(L20:L30)</f>
        <v>7686426.89571367</v>
      </c>
      <c r="M31" s="58" t="n">
        <f aca="false">M18+SUM(M20:M30)</f>
        <v>7840155.43362794</v>
      </c>
      <c r="N31" s="58" t="n">
        <f aca="false">N18+SUM(N20:N30)</f>
        <v>7996958.5423005</v>
      </c>
      <c r="O31" s="58" t="n">
        <f aca="false">O18+SUM(O20:O30)</f>
        <v>8156897.71314651</v>
      </c>
      <c r="P31" s="58" t="n">
        <f aca="false">P18+SUM(P20:P30)</f>
        <v>8320035.66740944</v>
      </c>
      <c r="Q31" s="58" t="n">
        <f aca="false">Q18+SUM(Q20:Q30)</f>
        <v>8486436.38075763</v>
      </c>
    </row>
    <row r="33" customFormat="false" ht="15" hidden="false" customHeight="true" outlineLevel="0" collapsed="false">
      <c r="A33" s="5" t="s">
        <v>1057</v>
      </c>
      <c r="B33" s="5"/>
      <c r="C33" s="5"/>
      <c r="D33" s="5"/>
      <c r="E33" s="5"/>
      <c r="F33" s="5"/>
      <c r="G33" s="5"/>
      <c r="H33" s="5"/>
      <c r="I33" s="5"/>
      <c r="J33" s="5"/>
      <c r="K33" s="5"/>
      <c r="L33" s="5"/>
      <c r="M33" s="5"/>
      <c r="N33" s="5"/>
      <c r="O33" s="5"/>
      <c r="P33" s="5"/>
      <c r="Q33" s="5"/>
    </row>
    <row r="34" customFormat="false" ht="15" hidden="false" customHeight="true" outlineLevel="0" collapsed="false">
      <c r="B34" s="57" t="s">
        <v>1058</v>
      </c>
      <c r="C34" s="58" t="n">
        <f aca="false">C15-C31</f>
        <v>5992748.28887045</v>
      </c>
      <c r="D34" s="58" t="n">
        <f aca="false">D15-D31</f>
        <v>7495733.53600097</v>
      </c>
      <c r="E34" s="58" t="n">
        <f aca="false">E15-E31</f>
        <v>9056441.09370117</v>
      </c>
      <c r="F34" s="58" t="n">
        <f aca="false">F15-F31</f>
        <v>9237569.91557519</v>
      </c>
      <c r="G34" s="58" t="n">
        <f aca="false">G15-G31</f>
        <v>9122974.70003869</v>
      </c>
      <c r="H34" s="58" t="n">
        <f aca="false">H15-H31</f>
        <v>9000100.64791451</v>
      </c>
      <c r="I34" s="58" t="n">
        <f aca="false">I15-I31</f>
        <v>8868662.44382534</v>
      </c>
      <c r="J34" s="58" t="n">
        <f aca="false">J15-J31</f>
        <v>8728366.67131344</v>
      </c>
      <c r="K34" s="58" t="n">
        <f aca="false">K15-K31</f>
        <v>8578911.60292353</v>
      </c>
      <c r="L34" s="58" t="n">
        <f aca="false">L15-L31</f>
        <v>8419986.9851295</v>
      </c>
      <c r="M34" s="58" t="n">
        <f aca="false">M15-M31</f>
        <v>8588386.72483209</v>
      </c>
      <c r="N34" s="58" t="n">
        <f aca="false">N15-N31</f>
        <v>8760154.45932873</v>
      </c>
      <c r="O34" s="58" t="n">
        <f aca="false">O15-O31</f>
        <v>8935357.54851531</v>
      </c>
      <c r="P34" s="58" t="n">
        <f aca="false">P15-P31</f>
        <v>9114064.69948561</v>
      </c>
      <c r="Q34" s="58" t="n">
        <f aca="false">Q15-Q31</f>
        <v>9296345.99347533</v>
      </c>
    </row>
    <row r="35" customFormat="false" ht="15" hidden="false" customHeight="true" outlineLevel="0" collapsed="false">
      <c r="B35" s="54" t="s">
        <v>1059</v>
      </c>
      <c r="C35" s="55" t="n">
        <f aca="false">C34/C15</f>
        <v>0.635229542594247</v>
      </c>
      <c r="D35" s="55" t="n">
        <f aca="false">D34/D15</f>
        <v>0.641501584028956</v>
      </c>
      <c r="E35" s="55" t="n">
        <f aca="false">E34/E15</f>
        <v>0.645892013033252</v>
      </c>
      <c r="F35" s="55" t="n">
        <f aca="false">F34/F15</f>
        <v>0.645892013033252</v>
      </c>
      <c r="G35" s="55" t="n">
        <f aca="false">G34/G15</f>
        <v>0.625372060404591</v>
      </c>
      <c r="H35" s="55" t="n">
        <f aca="false">H34/H15</f>
        <v>0.604852107775931</v>
      </c>
      <c r="I35" s="55" t="n">
        <f aca="false">I34/I15</f>
        <v>0.58433215514727</v>
      </c>
      <c r="J35" s="55" t="n">
        <f aca="false">J34/J15</f>
        <v>0.56381220251861</v>
      </c>
      <c r="K35" s="55" t="n">
        <f aca="false">K34/K15</f>
        <v>0.54329224988995</v>
      </c>
      <c r="L35" s="55" t="n">
        <f aca="false">L34/L15</f>
        <v>0.522772297261289</v>
      </c>
      <c r="M35" s="55" t="n">
        <f aca="false">M34/M15</f>
        <v>0.522772297261289</v>
      </c>
      <c r="N35" s="55" t="n">
        <f aca="false">N34/N15</f>
        <v>0.522772297261289</v>
      </c>
      <c r="O35" s="55" t="n">
        <f aca="false">O34/O15</f>
        <v>0.522772297261289</v>
      </c>
      <c r="P35" s="55" t="n">
        <f aca="false">P34/P15</f>
        <v>0.522772297261289</v>
      </c>
      <c r="Q35" s="55" t="n">
        <f aca="false">Q34/Q15</f>
        <v>0.522772297261289</v>
      </c>
    </row>
    <row r="36" customFormat="false" ht="15" hidden="false" customHeight="true" outlineLevel="0" collapsed="false">
      <c r="B36" s="54" t="s">
        <v>1060</v>
      </c>
      <c r="C36" s="56" t="n">
        <f aca="false">C34/C6</f>
        <v>185.304523465382</v>
      </c>
      <c r="D36" s="56" t="n">
        <f aca="false">D34/D6</f>
        <v>190.876840743595</v>
      </c>
      <c r="E36" s="56" t="n">
        <f aca="false">E34/E6</f>
        <v>196.026863500025</v>
      </c>
      <c r="F36" s="56" t="n">
        <f aca="false">F34/F6</f>
        <v>199.947400770026</v>
      </c>
      <c r="G36" s="56" t="n">
        <f aca="false">G34/G6</f>
        <v>197.466984849322</v>
      </c>
      <c r="H36" s="56" t="n">
        <f aca="false">H34/H6</f>
        <v>194.807373331483</v>
      </c>
      <c r="I36" s="56" t="n">
        <f aca="false">I34/I6</f>
        <v>191.96239055899</v>
      </c>
      <c r="J36" s="56" t="n">
        <f aca="false">J34/J6</f>
        <v>188.925685526265</v>
      </c>
      <c r="K36" s="56" t="n">
        <f aca="false">K34/K6</f>
        <v>185.690727336007</v>
      </c>
      <c r="L36" s="56" t="n">
        <f aca="false">L34/L6</f>
        <v>182.250800543929</v>
      </c>
      <c r="M36" s="56" t="n">
        <f aca="false">M34/M6</f>
        <v>185.895816554807</v>
      </c>
      <c r="N36" s="56" t="n">
        <f aca="false">N34/N6</f>
        <v>189.613732885903</v>
      </c>
      <c r="O36" s="56" t="n">
        <f aca="false">O34/O6</f>
        <v>193.406007543621</v>
      </c>
      <c r="P36" s="56" t="n">
        <f aca="false">P34/P6</f>
        <v>197.274127694494</v>
      </c>
      <c r="Q36" s="56" t="n">
        <f aca="false">Q34/Q6</f>
        <v>201.219610248384</v>
      </c>
    </row>
    <row r="37" customFormat="false" ht="15" hidden="false" customHeight="true" outlineLevel="0" collapsed="false">
      <c r="B37" s="54" t="s">
        <v>1061</v>
      </c>
      <c r="C37" s="56" t="n">
        <f aca="false">-IF(1&lt;='1-Inputs'!$C$160,'3-CAPEX'!$C$37,0)</f>
        <v>-4270650</v>
      </c>
      <c r="D37" s="56" t="n">
        <f aca="false">-IF(2&lt;='1-Inputs'!$C$160,'3-CAPEX'!$C$37,0)</f>
        <v>-4270650</v>
      </c>
      <c r="E37" s="56" t="n">
        <f aca="false">-IF(3&lt;='1-Inputs'!$C$160,'3-CAPEX'!$C$37,0)</f>
        <v>-4270650</v>
      </c>
      <c r="F37" s="56" t="n">
        <f aca="false">-IF(4&lt;='1-Inputs'!$C$160,'3-CAPEX'!$C$37,0)</f>
        <v>-4270650</v>
      </c>
      <c r="G37" s="56" t="n">
        <f aca="false">-IF(5&lt;='1-Inputs'!$C$160,'3-CAPEX'!$C$37,0)</f>
        <v>-4270650</v>
      </c>
      <c r="H37" s="56" t="n">
        <f aca="false">-IF(6&lt;='1-Inputs'!$C$160,'3-CAPEX'!$C$37,0)</f>
        <v>-4270650</v>
      </c>
      <c r="I37" s="56" t="n">
        <f aca="false">-IF(7&lt;='1-Inputs'!$C$160,'3-CAPEX'!$C$37,0)</f>
        <v>-4270650</v>
      </c>
      <c r="J37" s="56" t="n">
        <f aca="false">-IF(8&lt;='1-Inputs'!$C$160,'3-CAPEX'!$C$37,0)</f>
        <v>-4270650</v>
      </c>
      <c r="K37" s="56" t="n">
        <f aca="false">-IF(9&lt;='1-Inputs'!$C$160,'3-CAPEX'!$C$37,0)</f>
        <v>-4270650</v>
      </c>
      <c r="L37" s="56" t="n">
        <f aca="false">-IF(10&lt;='1-Inputs'!$C$160,'3-CAPEX'!$C$37,0)</f>
        <v>-4270650</v>
      </c>
      <c r="M37" s="56" t="n">
        <f aca="false">-IF(11&lt;='1-Inputs'!$C$160,'3-CAPEX'!$C$37,0)</f>
        <v>-4270650</v>
      </c>
      <c r="N37" s="56" t="n">
        <f aca="false">-IF(12&lt;='1-Inputs'!$C$160,'3-CAPEX'!$C$37,0)</f>
        <v>-4270650</v>
      </c>
      <c r="O37" s="56" t="n">
        <f aca="false">-IF(13&lt;='1-Inputs'!$C$160,'3-CAPEX'!$C$37,0)</f>
        <v>-4270650</v>
      </c>
      <c r="P37" s="56" t="n">
        <f aca="false">-IF(14&lt;='1-Inputs'!$C$160,'3-CAPEX'!$C$37,0)</f>
        <v>-4270650</v>
      </c>
      <c r="Q37" s="56" t="n">
        <f aca="false">-IF(15&lt;='1-Inputs'!$C$160,'3-CAPEX'!$C$37,0)</f>
        <v>-4270650</v>
      </c>
    </row>
    <row r="38" customFormat="false" ht="15" hidden="false" customHeight="true" outlineLevel="0" collapsed="false">
      <c r="B38" s="54" t="s">
        <v>1062</v>
      </c>
      <c r="C38" s="56" t="n">
        <f aca="false">C34+C37</f>
        <v>1722098.28887045</v>
      </c>
      <c r="D38" s="56" t="n">
        <f aca="false">D34+D37</f>
        <v>3225083.53600097</v>
      </c>
      <c r="E38" s="56" t="n">
        <f aca="false">E34+E37</f>
        <v>4785791.09370117</v>
      </c>
      <c r="F38" s="56" t="n">
        <f aca="false">F34+F37</f>
        <v>4966919.91557519</v>
      </c>
      <c r="G38" s="56" t="n">
        <f aca="false">G34+G37</f>
        <v>4852324.70003869</v>
      </c>
      <c r="H38" s="56" t="n">
        <f aca="false">H34+H37</f>
        <v>4729450.64791451</v>
      </c>
      <c r="I38" s="56" t="n">
        <f aca="false">I34+I37</f>
        <v>4598012.44382534</v>
      </c>
      <c r="J38" s="56" t="n">
        <f aca="false">J34+J37</f>
        <v>4457716.67131344</v>
      </c>
      <c r="K38" s="56" t="n">
        <f aca="false">K34+K37</f>
        <v>4308261.60292353</v>
      </c>
      <c r="L38" s="56" t="n">
        <f aca="false">L34+L37</f>
        <v>4149336.9851295</v>
      </c>
      <c r="M38" s="56" t="n">
        <f aca="false">M34+M37</f>
        <v>4317736.72483209</v>
      </c>
      <c r="N38" s="56" t="n">
        <f aca="false">N34+N37</f>
        <v>4489504.45932873</v>
      </c>
      <c r="O38" s="56" t="n">
        <f aca="false">O34+O37</f>
        <v>4664707.54851531</v>
      </c>
      <c r="P38" s="56" t="n">
        <f aca="false">P34+P37</f>
        <v>4843414.69948561</v>
      </c>
      <c r="Q38" s="56" t="n">
        <f aca="false">Q34+Q37</f>
        <v>5025695.99347533</v>
      </c>
    </row>
    <row r="39" customFormat="false" ht="15" hidden="false" customHeight="true" outlineLevel="0" collapsed="false">
      <c r="B39" s="54" t="s">
        <v>1063</v>
      </c>
      <c r="C39" s="56" t="n">
        <f aca="false">IF(AND(1&lt;='1-Inputs'!$C$158,'3-CAPEX'!$C$35&gt;0),CUMIPMT('1-Inputs'!$C$157/12,'1-Inputs'!$C$158*12,'3-CAPEX'!$C$35,12*(1-1)+1,12*1,0),0)</f>
        <v>-5247977.55052929</v>
      </c>
      <c r="D39" s="56" t="n">
        <f aca="false">IF(AND(2&lt;='1-Inputs'!$C$158,'3-CAPEX'!$C$35&gt;0),CUMIPMT('1-Inputs'!$C$157/12,'1-Inputs'!$C$158*12,'3-CAPEX'!$C$35,12*(2-1)+1,12*2,0),0)</f>
        <v>-4934437.99159207</v>
      </c>
      <c r="E39" s="56" t="n">
        <f aca="false">IF(AND(3&lt;='1-Inputs'!$C$158,'3-CAPEX'!$C$35&gt;0),CUMIPMT('1-Inputs'!$C$157/12,'1-Inputs'!$C$158*12,'3-CAPEX'!$C$35,12*(3-1)+1,12*3,0),0)</f>
        <v>-4581133.76864507</v>
      </c>
      <c r="F39" s="56" t="n">
        <f aca="false">IF(AND(4&lt;='1-Inputs'!$C$158,'3-CAPEX'!$C$35&gt;0),CUMIPMT('1-Inputs'!$C$157/12,'1-Inputs'!$C$158*12,'3-CAPEX'!$C$35,12*(4-1)+1,12*4,0),0)</f>
        <v>-4183021.72697706</v>
      </c>
      <c r="G39" s="56" t="n">
        <f aca="false">IF(AND(5&lt;='1-Inputs'!$C$158,'3-CAPEX'!$C$35&gt;0),CUMIPMT('1-Inputs'!$C$157/12,'1-Inputs'!$C$158*12,'3-CAPEX'!$C$35,12*(5-1)+1,12*5,0),0)</f>
        <v>-3734419.11362862</v>
      </c>
      <c r="H39" s="56" t="n">
        <f aca="false">IF(AND(6&lt;='1-Inputs'!$C$158,'3-CAPEX'!$C$35&gt;0),CUMIPMT('1-Inputs'!$C$157/12,'1-Inputs'!$C$158*12,'3-CAPEX'!$C$35,12*(6-1)+1,12*6,0),0)</f>
        <v>-3228922.46032497</v>
      </c>
      <c r="I39" s="56" t="n">
        <f aca="false">IF(AND(7&lt;='1-Inputs'!$C$158,'3-CAPEX'!$C$35&gt;0),CUMIPMT('1-Inputs'!$C$157/12,'1-Inputs'!$C$158*12,'3-CAPEX'!$C$35,12*(7-1)+1,12*7,0),0)</f>
        <v>-2659316.17873448</v>
      </c>
      <c r="J39" s="56" t="n">
        <f aca="false">IF(AND(8&lt;='1-Inputs'!$C$158,'3-CAPEX'!$C$35&gt;0),CUMIPMT('1-Inputs'!$C$157/12,'1-Inputs'!$C$158*12,'3-CAPEX'!$C$35,12*(8-1)+1,12*8,0),0)</f>
        <v>-2017469.56331792</v>
      </c>
      <c r="K39" s="56" t="n">
        <f aca="false">IF(AND(9&lt;='1-Inputs'!$C$158,'3-CAPEX'!$C$35&gt;0),CUMIPMT('1-Inputs'!$C$157/12,'1-Inputs'!$C$158*12,'3-CAPEX'!$C$35,12*(9-1)+1,12*9,0),0)</f>
        <v>-1294220.73156105</v>
      </c>
      <c r="L39" s="56" t="n">
        <f aca="false">IF(AND(10&lt;='1-Inputs'!$C$158,'3-CAPEX'!$C$35&gt;0),CUMIPMT('1-Inputs'!$C$157/12,'1-Inputs'!$C$158*12,'3-CAPEX'!$C$35,12*(10-1)+1,12*10,0),0)</f>
        <v>-479245.844923699</v>
      </c>
      <c r="M39" s="56" t="n">
        <f aca="false">IF(AND(11&lt;='1-Inputs'!$C$158,'3-CAPEX'!$C$35&gt;0),CUMIPMT('1-Inputs'!$C$157/12,'1-Inputs'!$C$158*12,'3-CAPEX'!$C$35,12*(11-1)+1,12*11,0),0)</f>
        <v>0</v>
      </c>
      <c r="N39" s="56" t="n">
        <f aca="false">IF(AND(12&lt;='1-Inputs'!$C$158,'3-CAPEX'!$C$35&gt;0),CUMIPMT('1-Inputs'!$C$157/12,'1-Inputs'!$C$158*12,'3-CAPEX'!$C$35,12*(12-1)+1,12*12,0),0)</f>
        <v>0</v>
      </c>
      <c r="O39" s="56" t="n">
        <f aca="false">IF(AND(13&lt;='1-Inputs'!$C$158,'3-CAPEX'!$C$35&gt;0),CUMIPMT('1-Inputs'!$C$157/12,'1-Inputs'!$C$158*12,'3-CAPEX'!$C$35,12*(13-1)+1,12*13,0),0)</f>
        <v>0</v>
      </c>
      <c r="P39" s="56" t="n">
        <f aca="false">IF(AND(14&lt;='1-Inputs'!$C$158,'3-CAPEX'!$C$35&gt;0),CUMIPMT('1-Inputs'!$C$157/12,'1-Inputs'!$C$158*12,'3-CAPEX'!$C$35,12*(14-1)+1,12*14,0),0)</f>
        <v>0</v>
      </c>
      <c r="Q39" s="56" t="n">
        <f aca="false">IF(AND(15&lt;='1-Inputs'!$C$158,'3-CAPEX'!$C$35&gt;0),CUMIPMT('1-Inputs'!$C$157/12,'1-Inputs'!$C$158*12,'3-CAPEX'!$C$35,12*(15-1)+1,12*15,0),0)</f>
        <v>0</v>
      </c>
    </row>
    <row r="40" customFormat="false" ht="15" hidden="false" customHeight="true" outlineLevel="0" collapsed="false">
      <c r="B40" s="57" t="s">
        <v>1064</v>
      </c>
      <c r="C40" s="61" t="n">
        <f aca="false">C38+C39</f>
        <v>-3525879.26165884</v>
      </c>
      <c r="D40" s="61" t="n">
        <f aca="false">D38+D39</f>
        <v>-1709354.45559109</v>
      </c>
      <c r="E40" s="61" t="n">
        <f aca="false">E38+E39</f>
        <v>204657.325056098</v>
      </c>
      <c r="F40" s="61" t="n">
        <f aca="false">F38+F39</f>
        <v>783898.188598129</v>
      </c>
      <c r="G40" s="61" t="n">
        <f aca="false">G38+G39</f>
        <v>1117905.58641008</v>
      </c>
      <c r="H40" s="61" t="n">
        <f aca="false">H38+H39</f>
        <v>1500528.18758954</v>
      </c>
      <c r="I40" s="61" t="n">
        <f aca="false">I38+I39</f>
        <v>1938696.26509086</v>
      </c>
      <c r="J40" s="61" t="n">
        <f aca="false">J38+J39</f>
        <v>2440247.10799552</v>
      </c>
      <c r="K40" s="61" t="n">
        <f aca="false">K38+K39</f>
        <v>3014040.87136248</v>
      </c>
      <c r="L40" s="61" t="n">
        <f aca="false">L38+L39</f>
        <v>3670091.1402058</v>
      </c>
      <c r="M40" s="61" t="n">
        <f aca="false">M38+M39</f>
        <v>4317736.72483209</v>
      </c>
      <c r="N40" s="61" t="n">
        <f aca="false">N38+N39</f>
        <v>4489504.45932873</v>
      </c>
      <c r="O40" s="61" t="n">
        <f aca="false">O38+O39</f>
        <v>4664707.54851531</v>
      </c>
      <c r="P40" s="61" t="n">
        <f aca="false">P38+P39</f>
        <v>4843414.69948561</v>
      </c>
      <c r="Q40" s="61" t="n">
        <f aca="false">Q38+Q39</f>
        <v>5025695.99347533</v>
      </c>
    </row>
    <row r="41" customFormat="false" ht="15" hidden="false" customHeight="true" outlineLevel="0" collapsed="false">
      <c r="B41" s="54" t="s">
        <v>1065</v>
      </c>
      <c r="C41" s="56" t="n">
        <f aca="false">-MAX(0,C40)*'1-Inputs'!$C$159</f>
        <v>-0</v>
      </c>
      <c r="D41" s="56" t="n">
        <f aca="false">-MAX(0,D40)*'1-Inputs'!$C$159</f>
        <v>-0</v>
      </c>
      <c r="E41" s="56" t="n">
        <f aca="false">-MAX(0,E40)*'1-Inputs'!$C$159</f>
        <v>-51164.3312640246</v>
      </c>
      <c r="F41" s="56" t="n">
        <f aca="false">-MAX(0,F40)*'1-Inputs'!$C$159</f>
        <v>-195974.547149532</v>
      </c>
      <c r="G41" s="56" t="n">
        <f aca="false">-MAX(0,G40)*'1-Inputs'!$C$159</f>
        <v>-279476.396602519</v>
      </c>
      <c r="H41" s="56" t="n">
        <f aca="false">-MAX(0,H40)*'1-Inputs'!$C$159</f>
        <v>-375132.046897384</v>
      </c>
      <c r="I41" s="56" t="n">
        <f aca="false">-MAX(0,I40)*'1-Inputs'!$C$159</f>
        <v>-484674.066272714</v>
      </c>
      <c r="J41" s="56" t="n">
        <f aca="false">-MAX(0,J40)*'1-Inputs'!$C$159</f>
        <v>-610061.77699888</v>
      </c>
      <c r="K41" s="56" t="n">
        <f aca="false">-MAX(0,K40)*'1-Inputs'!$C$159</f>
        <v>-753510.217840621</v>
      </c>
      <c r="L41" s="56" t="n">
        <f aca="false">-MAX(0,L40)*'1-Inputs'!$C$159</f>
        <v>-917522.785051451</v>
      </c>
      <c r="M41" s="56" t="n">
        <f aca="false">-MAX(0,M40)*'1-Inputs'!$C$159</f>
        <v>-1079434.18120802</v>
      </c>
      <c r="N41" s="56" t="n">
        <f aca="false">-MAX(0,N40)*'1-Inputs'!$C$159</f>
        <v>-1122376.11483218</v>
      </c>
      <c r="O41" s="56" t="n">
        <f aca="false">-MAX(0,O40)*'1-Inputs'!$C$159</f>
        <v>-1166176.88712883</v>
      </c>
      <c r="P41" s="56" t="n">
        <f aca="false">-MAX(0,P40)*'1-Inputs'!$C$159</f>
        <v>-1210853.6748714</v>
      </c>
      <c r="Q41" s="56" t="n">
        <f aca="false">-MAX(0,Q40)*'1-Inputs'!$C$159</f>
        <v>-1256423.99836883</v>
      </c>
    </row>
    <row r="42" customFormat="false" ht="15" hidden="false" customHeight="true" outlineLevel="0" collapsed="false">
      <c r="B42" s="57" t="s">
        <v>1066</v>
      </c>
      <c r="C42" s="58" t="n">
        <f aca="false">C40+C41</f>
        <v>-3525879.26165884</v>
      </c>
      <c r="D42" s="58" t="n">
        <f aca="false">D40+D41</f>
        <v>-1709354.45559109</v>
      </c>
      <c r="E42" s="58" t="n">
        <f aca="false">E40+E41</f>
        <v>153492.993792074</v>
      </c>
      <c r="F42" s="58" t="n">
        <f aca="false">F40+F41</f>
        <v>587923.641448596</v>
      </c>
      <c r="G42" s="58" t="n">
        <f aca="false">G40+G41</f>
        <v>838429.189807558</v>
      </c>
      <c r="H42" s="58" t="n">
        <f aca="false">H40+H41</f>
        <v>1125396.14069215</v>
      </c>
      <c r="I42" s="58" t="n">
        <f aca="false">I40+I41</f>
        <v>1454022.19881814</v>
      </c>
      <c r="J42" s="58" t="n">
        <f aca="false">J40+J41</f>
        <v>1830185.33099664</v>
      </c>
      <c r="K42" s="58" t="n">
        <f aca="false">K40+K41</f>
        <v>2260530.65352186</v>
      </c>
      <c r="L42" s="58" t="n">
        <f aca="false">L40+L41</f>
        <v>2752568.35515435</v>
      </c>
      <c r="M42" s="58" t="n">
        <f aca="false">M40+M41</f>
        <v>3238302.54362407</v>
      </c>
      <c r="N42" s="58" t="n">
        <f aca="false">N40+N41</f>
        <v>3367128.34449655</v>
      </c>
      <c r="O42" s="58" t="n">
        <f aca="false">O40+O41</f>
        <v>3498530.66138648</v>
      </c>
      <c r="P42" s="58" t="n">
        <f aca="false">P40+P41</f>
        <v>3632561.02461421</v>
      </c>
      <c r="Q42" s="58" t="n">
        <f aca="false">Q40+Q41</f>
        <v>3769271.9951065</v>
      </c>
    </row>
    <row r="44" customFormat="false" ht="15" hidden="false" customHeight="true" outlineLevel="0" collapsed="false">
      <c r="A44" s="5" t="s">
        <v>1067</v>
      </c>
      <c r="B44" s="5"/>
      <c r="C44" s="5"/>
      <c r="D44" s="5"/>
      <c r="E44" s="5"/>
      <c r="F44" s="5"/>
      <c r="G44" s="5"/>
      <c r="H44" s="5"/>
      <c r="I44" s="5"/>
      <c r="J44" s="5"/>
      <c r="K44" s="5"/>
      <c r="L44" s="5"/>
      <c r="M44" s="5"/>
      <c r="N44" s="5"/>
      <c r="O44" s="5"/>
      <c r="P44" s="5"/>
      <c r="Q44" s="5"/>
    </row>
    <row r="45" customFormat="false" ht="15" hidden="false" customHeight="true" outlineLevel="0" collapsed="false">
      <c r="B45" s="54" t="s">
        <v>1068</v>
      </c>
      <c r="C45" s="56" t="n">
        <f aca="false">C34+C41+C39</f>
        <v>744770.738341163</v>
      </c>
      <c r="D45" s="56" t="n">
        <f aca="false">D34+D41+D39</f>
        <v>2561295.54440891</v>
      </c>
      <c r="E45" s="56" t="n">
        <f aca="false">E34+E41+E39</f>
        <v>4424142.99379207</v>
      </c>
      <c r="F45" s="56" t="n">
        <f aca="false">F34+F41+F39</f>
        <v>4858573.6414486</v>
      </c>
      <c r="G45" s="56" t="n">
        <f aca="false">G34+G41+G39</f>
        <v>5109079.18980756</v>
      </c>
      <c r="H45" s="56" t="n">
        <f aca="false">H34+H41+H39</f>
        <v>5396046.14069215</v>
      </c>
      <c r="I45" s="56" t="n">
        <f aca="false">I34+I41+I39</f>
        <v>5724672.19881814</v>
      </c>
      <c r="J45" s="56" t="n">
        <f aca="false">J34+J41+J39</f>
        <v>6100835.33099664</v>
      </c>
      <c r="K45" s="56" t="n">
        <f aca="false">K34+K41+K39</f>
        <v>6531180.65352186</v>
      </c>
      <c r="L45" s="56" t="n">
        <f aca="false">L34+L41+L39</f>
        <v>7023218.35515435</v>
      </c>
      <c r="M45" s="56" t="n">
        <f aca="false">M34+M41+M39</f>
        <v>7508952.54362407</v>
      </c>
      <c r="N45" s="56" t="n">
        <f aca="false">N34+N41+N39</f>
        <v>7637778.34449655</v>
      </c>
      <c r="O45" s="56" t="n">
        <f aca="false">O34+O41+O39</f>
        <v>7769180.66138648</v>
      </c>
      <c r="P45" s="56" t="n">
        <f aca="false">P34+P41+P39</f>
        <v>7903211.02461421</v>
      </c>
      <c r="Q45" s="56" t="n">
        <f aca="false">Q34+Q41+Q39</f>
        <v>8039921.9951065</v>
      </c>
    </row>
    <row r="46" customFormat="false" ht="15" hidden="false" customHeight="true" outlineLevel="0" collapsed="false">
      <c r="B46" s="54" t="s">
        <v>1069</v>
      </c>
      <c r="C46" s="56" t="n">
        <f aca="false">IF(AND(1&lt;='1-Inputs'!$C$158,'3-CAPEX'!$C$35&gt;0),CUMPRINC('1-Inputs'!$C$157/12,'1-Inputs'!$C$158*12,'3-CAPEX'!$C$35,12*(1-1)+1,12*1,0),0)</f>
        <v>-2472221.44249413</v>
      </c>
      <c r="D46" s="56" t="n">
        <f aca="false">IF(AND(2&lt;='1-Inputs'!$C$158,'3-CAPEX'!$C$35&gt;0),CUMPRINC('1-Inputs'!$C$157/12,'1-Inputs'!$C$158*12,'3-CAPEX'!$C$35,12*(2-1)+1,12*2,0),0)</f>
        <v>-2785761.00143136</v>
      </c>
      <c r="E46" s="56" t="n">
        <f aca="false">IF(AND(3&lt;='1-Inputs'!$C$158,'3-CAPEX'!$C$35&gt;0),CUMPRINC('1-Inputs'!$C$157/12,'1-Inputs'!$C$158*12,'3-CAPEX'!$C$35,12*(3-1)+1,12*3,0),0)</f>
        <v>-3139065.22437835</v>
      </c>
      <c r="F46" s="56" t="n">
        <f aca="false">IF(AND(4&lt;='1-Inputs'!$C$158,'3-CAPEX'!$C$35&gt;0),CUMPRINC('1-Inputs'!$C$157/12,'1-Inputs'!$C$158*12,'3-CAPEX'!$C$35,12*(4-1)+1,12*4,0),0)</f>
        <v>-3537177.26604636</v>
      </c>
      <c r="G46" s="56" t="n">
        <f aca="false">IF(AND(5&lt;='1-Inputs'!$C$158,'3-CAPEX'!$C$35&gt;0),CUMPRINC('1-Inputs'!$C$157/12,'1-Inputs'!$C$158*12,'3-CAPEX'!$C$35,12*(5-1)+1,12*5,0),0)</f>
        <v>-3985779.87939481</v>
      </c>
      <c r="H46" s="56" t="n">
        <f aca="false">IF(AND(6&lt;='1-Inputs'!$C$158,'3-CAPEX'!$C$35&gt;0),CUMPRINC('1-Inputs'!$C$157/12,'1-Inputs'!$C$158*12,'3-CAPEX'!$C$35,12*(6-1)+1,12*6,0),0)</f>
        <v>-4491276.53269845</v>
      </c>
      <c r="I46" s="56" t="n">
        <f aca="false">IF(AND(7&lt;='1-Inputs'!$C$158,'3-CAPEX'!$C$35&gt;0),CUMPRINC('1-Inputs'!$C$157/12,'1-Inputs'!$C$158*12,'3-CAPEX'!$C$35,12*(7-1)+1,12*7,0),0)</f>
        <v>-5060882.81428894</v>
      </c>
      <c r="J46" s="56" t="n">
        <f aca="false">IF(AND(8&lt;='1-Inputs'!$C$158,'3-CAPEX'!$C$35&gt;0),CUMPRINC('1-Inputs'!$C$157/12,'1-Inputs'!$C$158*12,'3-CAPEX'!$C$35,12*(8-1)+1,12*8,0),0)</f>
        <v>-5702729.4297055</v>
      </c>
      <c r="K46" s="56" t="n">
        <f aca="false">IF(AND(9&lt;='1-Inputs'!$C$158,'3-CAPEX'!$C$35&gt;0),CUMPRINC('1-Inputs'!$C$157/12,'1-Inputs'!$C$158*12,'3-CAPEX'!$C$35,12*(9-1)+1,12*9,0),0)</f>
        <v>-6425978.26146238</v>
      </c>
      <c r="L46" s="56" t="n">
        <f aca="false">IF(AND(10&lt;='1-Inputs'!$C$158,'3-CAPEX'!$C$35&gt;0),CUMPRINC('1-Inputs'!$C$157/12,'1-Inputs'!$C$158*12,'3-CAPEX'!$C$35,12*(10-1)+1,12*10,0),0)</f>
        <v>-7240953.14809972</v>
      </c>
      <c r="M46" s="56" t="n">
        <f aca="false">IF(AND(11&lt;='1-Inputs'!$C$158,'3-CAPEX'!$C$35&gt;0),CUMPRINC('1-Inputs'!$C$157/12,'1-Inputs'!$C$158*12,'3-CAPEX'!$C$35,12*(11-1)+1,12*11,0),0)</f>
        <v>0</v>
      </c>
      <c r="N46" s="56" t="n">
        <f aca="false">IF(AND(12&lt;='1-Inputs'!$C$158,'3-CAPEX'!$C$35&gt;0),CUMPRINC('1-Inputs'!$C$157/12,'1-Inputs'!$C$158*12,'3-CAPEX'!$C$35,12*(12-1)+1,12*12,0),0)</f>
        <v>0</v>
      </c>
      <c r="O46" s="56" t="n">
        <f aca="false">IF(AND(13&lt;='1-Inputs'!$C$158,'3-CAPEX'!$C$35&gt;0),CUMPRINC('1-Inputs'!$C$157/12,'1-Inputs'!$C$158*12,'3-CAPEX'!$C$35,12*(13-1)+1,12*13,0),0)</f>
        <v>0</v>
      </c>
      <c r="P46" s="56" t="n">
        <f aca="false">IF(AND(14&lt;='1-Inputs'!$C$158,'3-CAPEX'!$C$35&gt;0),CUMPRINC('1-Inputs'!$C$157/12,'1-Inputs'!$C$158*12,'3-CAPEX'!$C$35,12*(14-1)+1,12*14,0),0)</f>
        <v>0</v>
      </c>
      <c r="Q46" s="56" t="n">
        <f aca="false">IF(AND(15&lt;='1-Inputs'!$C$158,'3-CAPEX'!$C$35&gt;0),CUMPRINC('1-Inputs'!$C$157/12,'1-Inputs'!$C$158*12,'3-CAPEX'!$C$35,12*(15-1)+1,12*15,0),0)</f>
        <v>0</v>
      </c>
    </row>
    <row r="47" customFormat="false" ht="15" hidden="false" customHeight="true" outlineLevel="0" collapsed="false">
      <c r="B47" s="54" t="s">
        <v>1070</v>
      </c>
      <c r="C47" s="56" t="n">
        <f aca="true">-'1-Inputs'!$C$165*(C15-IF(1=1,0,OFFSET(C15,0,-1)))+IF(1=15,'1-Inputs'!$C$165*C15,0)</f>
        <v>-471699.4320192</v>
      </c>
      <c r="D47" s="56" t="n">
        <f aca="true">-'1-Inputs'!$C$165*(D15-IF(2=1,0,OFFSET(D15,0,-1)))+IF(2=15,'1-Inputs'!$C$165*D15,0)</f>
        <v>-112534.007353152</v>
      </c>
      <c r="E47" s="56" t="n">
        <f aca="true">-'1-Inputs'!$C$165*(E15-IF(3=1,0,OFFSET(E15,0,-1)))+IF(3=15,'1-Inputs'!$C$165*E15,0)</f>
        <v>-116846.68787447</v>
      </c>
      <c r="F47" s="56" t="n">
        <f aca="true">-'1-Inputs'!$C$165*(F15-IF(4=1,0,OFFSET(F15,0,-1)))+IF(4=15,'1-Inputs'!$C$165*F15,0)</f>
        <v>-14021.6025449366</v>
      </c>
      <c r="G47" s="56" t="n">
        <f aca="true">-'1-Inputs'!$C$165*(G15-IF(5=1,0,OFFSET(G15,0,-1)))+IF(5=15,'1-Inputs'!$C$165*G15,0)</f>
        <v>-14302.0345958349</v>
      </c>
      <c r="H47" s="56" t="n">
        <f aca="true">-'1-Inputs'!$C$165*(H15-IF(6=1,0,OFFSET(H15,0,-1)))+IF(6=15,'1-Inputs'!$C$165*H15,0)</f>
        <v>-14588.0752877519</v>
      </c>
      <c r="I47" s="56" t="n">
        <f aca="true">-'1-Inputs'!$C$165*(I15-IF(7=1,0,OFFSET(I15,0,-1)))+IF(7=15,'1-Inputs'!$C$165*I15,0)</f>
        <v>-14879.836793507</v>
      </c>
      <c r="J47" s="56" t="n">
        <f aca="true">-'1-Inputs'!$C$165*(J15-IF(8=1,0,OFFSET(J15,0,-1)))+IF(8=15,'1-Inputs'!$C$165*J15,0)</f>
        <v>-15177.433529377</v>
      </c>
      <c r="K47" s="56" t="n">
        <f aca="true">-'1-Inputs'!$C$165*(K15-IF(9=1,0,OFFSET(K15,0,-1)))+IF(9=15,'1-Inputs'!$C$165*K15,0)</f>
        <v>-15480.9821999647</v>
      </c>
      <c r="L47" s="56" t="n">
        <f aca="true">-'1-Inputs'!$C$165*(L15-IF(10=1,0,OFFSET(L15,0,-1)))+IF(10=15,'1-Inputs'!$C$165*L15,0)</f>
        <v>-15790.6018439639</v>
      </c>
      <c r="M47" s="56" t="n">
        <f aca="true">-'1-Inputs'!$C$165*(M15-IF(11=1,0,OFFSET(M15,0,-1)))+IF(11=15,'1-Inputs'!$C$165*M15,0)</f>
        <v>-16106.4138808431</v>
      </c>
      <c r="N47" s="56" t="n">
        <f aca="true">-'1-Inputs'!$C$165*(N15-IF(12=1,0,OFFSET(N15,0,-1)))+IF(12=15,'1-Inputs'!$C$165*N15,0)</f>
        <v>-16428.5421584602</v>
      </c>
      <c r="O47" s="56" t="n">
        <f aca="true">-'1-Inputs'!$C$165*(O15-IF(13=1,0,OFFSET(O15,0,-1)))+IF(13=15,'1-Inputs'!$C$165*O15,0)</f>
        <v>-16757.1130016292</v>
      </c>
      <c r="P47" s="56" t="n">
        <f aca="true">-'1-Inputs'!$C$165*(P15-IF(14=1,0,OFFSET(P15,0,-1)))+IF(14=15,'1-Inputs'!$C$165*P15,0)</f>
        <v>-17092.2552616617</v>
      </c>
      <c r="Q47" s="56" t="n">
        <f aca="true">-'1-Inputs'!$C$165*(Q15-IF(15=1,0,OFFSET(Q15,0,-1)))+IF(15=15,'1-Inputs'!$C$165*Q15,0)</f>
        <v>871705.018344753</v>
      </c>
    </row>
    <row r="48" customFormat="false" ht="15" hidden="false" customHeight="true" outlineLevel="0" collapsed="false">
      <c r="B48" s="57" t="s">
        <v>1071</v>
      </c>
      <c r="C48" s="61" t="n">
        <f aca="false">C45+C46+C47</f>
        <v>-2199150.13617217</v>
      </c>
      <c r="D48" s="61" t="n">
        <f aca="false">D45+D46+D47</f>
        <v>-336999.464375602</v>
      </c>
      <c r="E48" s="61" t="n">
        <f aca="false">E45+E46+E47</f>
        <v>1168231.08153925</v>
      </c>
      <c r="F48" s="61" t="n">
        <f aca="false">F45+F46+F47</f>
        <v>1307374.7728573</v>
      </c>
      <c r="G48" s="61" t="n">
        <f aca="false">G45+G46+G47</f>
        <v>1108997.27581692</v>
      </c>
      <c r="H48" s="61" t="n">
        <f aca="false">H45+H46+H47</f>
        <v>890181.532705951</v>
      </c>
      <c r="I48" s="61" t="n">
        <f aca="false">I45+I46+I47</f>
        <v>648909.547735697</v>
      </c>
      <c r="J48" s="61" t="n">
        <f aca="false">J45+J46+J47</f>
        <v>382928.467761759</v>
      </c>
      <c r="K48" s="61" t="n">
        <f aca="false">K45+K46+K47</f>
        <v>89721.4098595236</v>
      </c>
      <c r="L48" s="61" t="n">
        <f aca="false">L45+L46+L47</f>
        <v>-233525.394789334</v>
      </c>
      <c r="M48" s="61" t="n">
        <f aca="false">M45+M46+M47</f>
        <v>7492846.12974323</v>
      </c>
      <c r="N48" s="61" t="n">
        <f aca="false">N45+N46+N47</f>
        <v>7621349.80233809</v>
      </c>
      <c r="O48" s="61" t="n">
        <f aca="false">O45+O46+O47</f>
        <v>7752423.54838485</v>
      </c>
      <c r="P48" s="61" t="n">
        <f aca="false">P45+P46+P47</f>
        <v>7886118.76935255</v>
      </c>
      <c r="Q48" s="61" t="n">
        <f aca="false">Q45+Q46+Q47</f>
        <v>8911627.01345125</v>
      </c>
    </row>
    <row r="49" customFormat="false" ht="15" hidden="false" customHeight="true" outlineLevel="0" collapsed="false">
      <c r="B49" s="57" t="s">
        <v>1072</v>
      </c>
      <c r="C49" s="62" t="n">
        <f aca="true">IF(1=1,C48,OFFSET(C49,0,-1)+C48)</f>
        <v>-2199150.13617217</v>
      </c>
      <c r="D49" s="62" t="n">
        <f aca="true">IF(2=1,D48,OFFSET(D49,0,-1)+D48)</f>
        <v>-2536149.60054777</v>
      </c>
      <c r="E49" s="62" t="n">
        <f aca="true">IF(3=1,E48,OFFSET(E49,0,-1)+E48)</f>
        <v>-1367918.51900852</v>
      </c>
      <c r="F49" s="62" t="n">
        <f aca="true">IF(4=1,F48,OFFSET(F49,0,-1)+F48)</f>
        <v>-60543.7461512203</v>
      </c>
      <c r="G49" s="62" t="n">
        <f aca="true">IF(5=1,G48,OFFSET(G49,0,-1)+G48)</f>
        <v>1048453.5296657</v>
      </c>
      <c r="H49" s="62" t="n">
        <f aca="true">IF(6=1,H48,OFFSET(H49,0,-1)+H48)</f>
        <v>1938635.06237165</v>
      </c>
      <c r="I49" s="62" t="n">
        <f aca="true">IF(7=1,I48,OFFSET(I49,0,-1)+I48)</f>
        <v>2587544.61010735</v>
      </c>
      <c r="J49" s="62" t="n">
        <f aca="true">IF(8=1,J48,OFFSET(J49,0,-1)+J48)</f>
        <v>2970473.07786911</v>
      </c>
      <c r="K49" s="62" t="n">
        <f aca="true">IF(9=1,K48,OFFSET(K49,0,-1)+K48)</f>
        <v>3060194.48772863</v>
      </c>
      <c r="L49" s="62" t="n">
        <f aca="true">IF(10=1,L48,OFFSET(L49,0,-1)+L48)</f>
        <v>2826669.0929393</v>
      </c>
      <c r="M49" s="62" t="n">
        <f aca="true">IF(11=1,M48,OFFSET(M49,0,-1)+M48)</f>
        <v>10319515.2226825</v>
      </c>
      <c r="N49" s="62" t="n">
        <f aca="true">IF(12=1,N48,OFFSET(N49,0,-1)+N48)</f>
        <v>17940865.0250206</v>
      </c>
      <c r="O49" s="62" t="n">
        <f aca="true">IF(13=1,O48,OFFSET(O49,0,-1)+O48)</f>
        <v>25693288.5734055</v>
      </c>
      <c r="P49" s="62" t="n">
        <f aca="true">IF(14=1,P48,OFFSET(P49,0,-1)+P48)</f>
        <v>33579407.342758</v>
      </c>
      <c r="Q49" s="62" t="n">
        <f aca="true">IF(15=1,Q48,OFFSET(Q49,0,-1)+Q48)</f>
        <v>42491034.3562093</v>
      </c>
    </row>
    <row r="51" customFormat="false" ht="15" hidden="false" customHeight="true" outlineLevel="0" collapsed="false">
      <c r="B51" s="54" t="s">
        <v>1073</v>
      </c>
      <c r="C51" s="56" t="n">
        <f aca="false">C34-MAX(0,C34+C37)*'1-Inputs'!$C$159+C47</f>
        <v>5090524.28463364</v>
      </c>
      <c r="D51" s="56" t="n">
        <f aca="false">D34-MAX(0,D34+D37)*'1-Inputs'!$C$159+D47</f>
        <v>6576928.64464758</v>
      </c>
      <c r="E51" s="56" t="n">
        <f aca="false">E34-MAX(0,E34+E37)*'1-Inputs'!$C$159+E47</f>
        <v>7743146.6324014</v>
      </c>
      <c r="F51" s="56" t="n">
        <f aca="false">F34-MAX(0,F34+F37)*'1-Inputs'!$C$159+F47</f>
        <v>7981818.33413646</v>
      </c>
      <c r="G51" s="56" t="n">
        <f aca="false">G34-MAX(0,G34+G37)*'1-Inputs'!$C$159+G47</f>
        <v>7895591.49043319</v>
      </c>
      <c r="H51" s="56" t="n">
        <f aca="false">H34-MAX(0,H34+H37)*'1-Inputs'!$C$159+H47</f>
        <v>7803149.91064813</v>
      </c>
      <c r="I51" s="56" t="n">
        <f aca="false">I34-MAX(0,I34+I37)*'1-Inputs'!$C$159+I47</f>
        <v>7704279.4960755</v>
      </c>
      <c r="J51" s="56" t="n">
        <f aca="false">J34-MAX(0,J34+J37)*'1-Inputs'!$C$159+J47</f>
        <v>7598760.0699557</v>
      </c>
      <c r="K51" s="56" t="n">
        <f aca="false">K34-MAX(0,K34+K37)*'1-Inputs'!$C$159+K47</f>
        <v>7486365.21999268</v>
      </c>
      <c r="L51" s="56" t="n">
        <f aca="false">L34-MAX(0,L34+L37)*'1-Inputs'!$C$159+L47</f>
        <v>7366862.13700316</v>
      </c>
      <c r="M51" s="56" t="n">
        <f aca="false">M34-MAX(0,M34+M37)*'1-Inputs'!$C$159+M47</f>
        <v>7492846.12974323</v>
      </c>
      <c r="N51" s="56" t="n">
        <f aca="false">N34-MAX(0,N34+N37)*'1-Inputs'!$C$159+N47</f>
        <v>7621349.80233809</v>
      </c>
      <c r="O51" s="56" t="n">
        <f aca="false">O34-MAX(0,O34+O37)*'1-Inputs'!$C$159+O47</f>
        <v>7752423.54838485</v>
      </c>
      <c r="P51" s="56" t="n">
        <f aca="false">P34-MAX(0,P34+P37)*'1-Inputs'!$C$159+P47</f>
        <v>7886118.76935255</v>
      </c>
      <c r="Q51" s="56" t="n">
        <f aca="false">Q34-MAX(0,Q34+Q37)*'1-Inputs'!$C$159+Q47</f>
        <v>8911627.01345125</v>
      </c>
    </row>
    <row r="53" customFormat="false" ht="15" hidden="false" customHeight="true" outlineLevel="0" collapsed="false">
      <c r="B53" s="3" t="s">
        <v>1074</v>
      </c>
      <c r="C53" s="63" t="n">
        <f aca="false">-'3-CAPEX'!C31</f>
        <v>-64059750</v>
      </c>
      <c r="D53" s="63" t="n">
        <f aca="false">C51</f>
        <v>5090524.28463364</v>
      </c>
      <c r="E53" s="63" t="n">
        <f aca="false">D51</f>
        <v>6576928.64464758</v>
      </c>
      <c r="F53" s="63" t="n">
        <f aca="false">E51</f>
        <v>7743146.6324014</v>
      </c>
      <c r="G53" s="63" t="n">
        <f aca="false">F51</f>
        <v>7981818.33413646</v>
      </c>
      <c r="H53" s="63" t="n">
        <f aca="false">G51</f>
        <v>7895591.49043319</v>
      </c>
      <c r="I53" s="63" t="n">
        <f aca="false">H51</f>
        <v>7803149.91064813</v>
      </c>
      <c r="J53" s="63" t="n">
        <f aca="false">I51</f>
        <v>7704279.4960755</v>
      </c>
      <c r="K53" s="63" t="n">
        <f aca="false">J51</f>
        <v>7598760.0699557</v>
      </c>
      <c r="L53" s="63" t="n">
        <f aca="false">K51</f>
        <v>7486365.21999268</v>
      </c>
      <c r="M53" s="63" t="n">
        <f aca="false">L51</f>
        <v>7366862.13700316</v>
      </c>
      <c r="N53" s="63" t="n">
        <f aca="false">M51</f>
        <v>7492846.12974323</v>
      </c>
      <c r="O53" s="63" t="n">
        <f aca="false">N51</f>
        <v>7621349.80233809</v>
      </c>
      <c r="P53" s="63" t="n">
        <f aca="false">O51</f>
        <v>7752423.54838485</v>
      </c>
      <c r="Q53" s="63" t="n">
        <f aca="false">P51</f>
        <v>7886118.76935255</v>
      </c>
      <c r="R53" s="63" t="n">
        <f aca="false">Q51</f>
        <v>8911627.01345125</v>
      </c>
    </row>
    <row r="54" customFormat="false" ht="15" hidden="false" customHeight="true" outlineLevel="0" collapsed="false">
      <c r="B54" s="3" t="s">
        <v>1075</v>
      </c>
      <c r="C54" s="63" t="n">
        <f aca="false">-'3-CAPEX'!C36</f>
        <v>-19217925</v>
      </c>
      <c r="D54" s="63" t="n">
        <f aca="false">C48</f>
        <v>-2199150.13617217</v>
      </c>
      <c r="E54" s="63" t="n">
        <f aca="false">D48</f>
        <v>-336999.464375602</v>
      </c>
      <c r="F54" s="63" t="n">
        <f aca="false">E48</f>
        <v>1168231.08153925</v>
      </c>
      <c r="G54" s="63" t="n">
        <f aca="false">F48</f>
        <v>1307374.7728573</v>
      </c>
      <c r="H54" s="63" t="n">
        <f aca="false">G48</f>
        <v>1108997.27581692</v>
      </c>
      <c r="I54" s="63" t="n">
        <f aca="false">H48</f>
        <v>890181.532705951</v>
      </c>
      <c r="J54" s="63" t="n">
        <f aca="false">I48</f>
        <v>648909.547735697</v>
      </c>
      <c r="K54" s="63" t="n">
        <f aca="false">J48</f>
        <v>382928.467761759</v>
      </c>
      <c r="L54" s="63" t="n">
        <f aca="false">K48</f>
        <v>89721.4098595236</v>
      </c>
      <c r="M54" s="63" t="n">
        <f aca="false">L48</f>
        <v>-233525.394789334</v>
      </c>
      <c r="N54" s="63" t="n">
        <f aca="false">M48</f>
        <v>7492846.12974323</v>
      </c>
      <c r="O54" s="63" t="n">
        <f aca="false">N48</f>
        <v>7621349.80233809</v>
      </c>
      <c r="P54" s="63" t="n">
        <f aca="false">O48</f>
        <v>7752423.54838485</v>
      </c>
      <c r="Q54" s="63" t="n">
        <f aca="false">P48</f>
        <v>7886118.76935255</v>
      </c>
      <c r="R54" s="63" t="n">
        <f aca="false">Q48</f>
        <v>8911627.01345125</v>
      </c>
    </row>
    <row r="56" customFormat="false" ht="15" hidden="false" customHeight="true" outlineLevel="0" collapsed="false">
      <c r="B56" s="57" t="s">
        <v>1076</v>
      </c>
      <c r="C56" s="62" t="n">
        <f aca="false">C53+NPV('1-Inputs'!$C$164,D53:R53)</f>
        <v>-8396262.54895729</v>
      </c>
    </row>
    <row r="57" customFormat="false" ht="15" hidden="false" customHeight="true" outlineLevel="0" collapsed="false">
      <c r="B57" s="57" t="s">
        <v>1077</v>
      </c>
      <c r="C57" s="64" t="n">
        <f aca="false">IRR(C53:R53)</f>
        <v>0.0773999255240258</v>
      </c>
    </row>
    <row r="58" customFormat="false" ht="15" hidden="false" customHeight="true" outlineLevel="0" collapsed="false">
      <c r="B58" s="57" t="s">
        <v>1078</v>
      </c>
      <c r="C58" s="64" t="n">
        <f aca="false">IRR(C54:R54)</f>
        <v>0.0644554395062186</v>
      </c>
    </row>
    <row r="59" customFormat="false" ht="15" hidden="false" customHeight="true" outlineLevel="0" collapsed="false">
      <c r="B59" s="57" t="s">
        <v>1079</v>
      </c>
      <c r="C59" s="63" t="n">
        <f aca="false">'3-CAPEX'!C36</f>
        <v>19217925</v>
      </c>
    </row>
    <row r="60" customFormat="false" ht="15" hidden="false" customHeight="true" outlineLevel="0" collapsed="false">
      <c r="B60" s="57" t="s">
        <v>1080</v>
      </c>
      <c r="C60" s="65" t="n">
        <f aca="false">'3-CAPEX'!C31/E34</f>
        <v>7.07339111878662</v>
      </c>
    </row>
    <row r="61" customFormat="false" ht="15" hidden="false" customHeight="true" outlineLevel="0" collapsed="false">
      <c r="B61" s="57" t="s">
        <v>1081</v>
      </c>
      <c r="C61" s="62" t="n">
        <f aca="false">(E31+'3-CAPEX'!C31/'1-Inputs'!$C$160-(E15-E9))/E6</f>
        <v>10.8554481882864</v>
      </c>
      <c r="E61" s="3" t="s">
        <v>1082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2"/>
    <col collapsed="false" customWidth="true" hidden="false" outlineLevel="0" max="3" min="3" style="1" width="16"/>
    <col collapsed="false" customWidth="true" hidden="false" outlineLevel="0" max="4" min="4" style="1" width="70"/>
  </cols>
  <sheetData>
    <row r="1" customFormat="false" ht="17.25" hidden="false" customHeight="true" outlineLevel="0" collapsed="false">
      <c r="A1" s="2" t="s">
        <v>1083</v>
      </c>
    </row>
    <row r="2" customFormat="false" ht="15" hidden="false" customHeight="true" outlineLevel="0" collapsed="false">
      <c r="A2" s="1" t="s">
        <v>1084</v>
      </c>
    </row>
    <row r="4" customFormat="false" ht="15" hidden="false" customHeight="true" outlineLevel="0" collapsed="false">
      <c r="A4" s="4" t="s">
        <v>238</v>
      </c>
      <c r="B4" s="4" t="s">
        <v>3</v>
      </c>
      <c r="C4" s="4" t="s">
        <v>502</v>
      </c>
      <c r="D4" s="4" t="s">
        <v>776</v>
      </c>
    </row>
    <row r="5" customFormat="false" ht="15" hidden="false" customHeight="true" outlineLevel="0" collapsed="false">
      <c r="A5" s="5" t="s">
        <v>1085</v>
      </c>
      <c r="B5" s="5"/>
      <c r="C5" s="5"/>
      <c r="D5" s="5"/>
    </row>
    <row r="6" customFormat="false" ht="15" hidden="false" customHeight="true" outlineLevel="0" collapsed="false">
      <c r="A6" s="1" t="s">
        <v>1086</v>
      </c>
      <c r="B6" s="66" t="s">
        <v>1087</v>
      </c>
      <c r="C6" s="67" t="n">
        <f aca="false">'2-Production'!D15*'1-Inputs'!$C$20*'1-Inputs'!$C$177*'1-Inputs'!$C$9/1000+'2-Production'!D15*'1-Inputs'!$C$21*'1-Inputs'!$C$178*'1-Inputs'!$C$9/1000+'2-Production'!D48+'2-Production'!D92+'2-Production'!D93</f>
        <v>3627.7395</v>
      </c>
      <c r="D6" s="1" t="s">
        <v>783</v>
      </c>
    </row>
    <row r="7" customFormat="false" ht="15" hidden="false" customHeight="true" outlineLevel="0" collapsed="false">
      <c r="A7" s="1" t="s">
        <v>1088</v>
      </c>
      <c r="B7" s="66" t="s">
        <v>1089</v>
      </c>
      <c r="C7" s="68" t="n">
        <f aca="false">('2-Production'!D15*'1-Inputs'!$C$20*'1-Inputs'!$C$177*'1-Inputs'!$C$9/1000*'1-Inputs'!$C$81+'2-Production'!D15*'1-Inputs'!$C$21*'1-Inputs'!$C$178*'1-Inputs'!$C$9/1000*'1-Inputs'!$C$82)*(1+'1-Inputs'!$C$161)^2*'4-PL'!$E$5</f>
        <v>794899.413</v>
      </c>
    </row>
    <row r="8" customFormat="false" ht="15" hidden="false" customHeight="true" outlineLevel="0" collapsed="false">
      <c r="A8" s="1" t="s">
        <v>1090</v>
      </c>
      <c r="B8" s="66" t="s">
        <v>1091</v>
      </c>
      <c r="C8" s="68" t="n">
        <f aca="false">'4-PL'!E13</f>
        <v>54406.448712</v>
      </c>
    </row>
    <row r="9" customFormat="false" ht="15" hidden="false" customHeight="true" outlineLevel="0" collapsed="false">
      <c r="A9" s="1" t="s">
        <v>1092</v>
      </c>
      <c r="B9" s="66" t="s">
        <v>1093</v>
      </c>
      <c r="C9" s="68" t="n">
        <f aca="false">C6*'1-Inputs'!$C$85*(1+'1-Inputs'!$C$161)^2*'4-PL'!$E$5</f>
        <v>415173.019338</v>
      </c>
      <c r="D9" s="1" t="s">
        <v>1094</v>
      </c>
    </row>
    <row r="10" customFormat="false" ht="15" hidden="false" customHeight="true" outlineLevel="0" collapsed="false">
      <c r="A10" s="1" t="s">
        <v>1095</v>
      </c>
      <c r="B10" s="66" t="s">
        <v>1096</v>
      </c>
      <c r="C10" s="68" t="n">
        <f aca="false">-'1-Inputs'!$C$173*'1-Inputs'!$C$175*'1-Inputs'!$C$8*'1-Inputs'!$C$107*(1+'1-Inputs'!$C$161)^2*'4-PL'!$E$5</f>
        <v>-233049.6</v>
      </c>
    </row>
    <row r="11" customFormat="false" ht="15" hidden="false" customHeight="true" outlineLevel="0" collapsed="false">
      <c r="A11" s="1" t="s">
        <v>1097</v>
      </c>
      <c r="B11" s="66" t="s">
        <v>1098</v>
      </c>
      <c r="C11" s="68" t="n">
        <f aca="false">-'1-Inputs'!$C$109*'3-CAPEX'!C11*(1+'1-Inputs'!$C$161)^2*'4-PL'!$E$5</f>
        <v>-44945.28</v>
      </c>
      <c r="D11" s="1" t="s">
        <v>1099</v>
      </c>
    </row>
    <row r="12" customFormat="false" ht="15" hidden="false" customHeight="true" outlineLevel="0" collapsed="false">
      <c r="A12" s="1" t="s">
        <v>1100</v>
      </c>
      <c r="B12" s="66" t="s">
        <v>1061</v>
      </c>
      <c r="C12" s="68" t="n">
        <f aca="false">-'3-CAPEX'!C11/'1-Inputs'!$C$160</f>
        <v>-72000</v>
      </c>
    </row>
    <row r="13" customFormat="false" ht="15" hidden="false" customHeight="true" outlineLevel="0" collapsed="false">
      <c r="A13" s="1" t="s">
        <v>1101</v>
      </c>
      <c r="B13" s="69" t="s">
        <v>1102</v>
      </c>
      <c r="C13" s="70" t="n">
        <f aca="false">SUM(C7:C12)</f>
        <v>914484.00105</v>
      </c>
      <c r="D13" s="1" t="s">
        <v>1103</v>
      </c>
    </row>
    <row r="15" customFormat="false" ht="15" hidden="false" customHeight="true" outlineLevel="0" collapsed="false">
      <c r="A15" s="5" t="s">
        <v>1104</v>
      </c>
      <c r="B15" s="5"/>
      <c r="C15" s="5"/>
      <c r="D15" s="5"/>
    </row>
    <row r="16" customFormat="false" ht="15" hidden="false" customHeight="true" outlineLevel="0" collapsed="false">
      <c r="A16" s="1" t="s">
        <v>1105</v>
      </c>
      <c r="B16" s="66" t="s">
        <v>1106</v>
      </c>
      <c r="C16" s="67" t="n">
        <f aca="false">'2-Production'!D15*'1-Inputs'!$C$20*(1-'1-Inputs'!$C$177)*'1-Inputs'!$C$181*'1-Inputs'!$C$9/1000+'2-Production'!D15*'1-Inputs'!$C$21*(1-'1-Inputs'!$C$178)*'1-Inputs'!$C$181*'1-Inputs'!$C$9/1000+'2-Production'!D46</f>
        <v>303.3492</v>
      </c>
      <c r="D16" s="1" t="s">
        <v>783</v>
      </c>
    </row>
    <row r="17" customFormat="false" ht="15" hidden="false" customHeight="true" outlineLevel="0" collapsed="false">
      <c r="A17" s="1" t="s">
        <v>1107</v>
      </c>
      <c r="B17" s="66" t="s">
        <v>1108</v>
      </c>
      <c r="C17" s="68" t="n">
        <f aca="false">('2-Production'!D15*'1-Inputs'!$C$20*(1-'1-Inputs'!$C$177)*'1-Inputs'!$C$181*'1-Inputs'!$C$9/1000*'1-Inputs'!$C$81+'2-Production'!D15*'1-Inputs'!$C$21*(1-'1-Inputs'!$C$178)*'1-Inputs'!$C$181*'1-Inputs'!$C$9/1000*'1-Inputs'!$C$82+'2-Production'!D46*'1-Inputs'!$C$83)*(1+'1-Inputs'!$C$161)^2*'4-PL'!$E$5</f>
        <v>183710.08656</v>
      </c>
    </row>
    <row r="18" customFormat="false" ht="15" hidden="false" customHeight="true" outlineLevel="0" collapsed="false">
      <c r="A18" s="1" t="s">
        <v>1109</v>
      </c>
      <c r="B18" s="66" t="s">
        <v>1093</v>
      </c>
      <c r="C18" s="68" t="n">
        <f aca="false">C16*'1-Inputs'!$C$85*(1+'1-Inputs'!$C$161)^2*'4-PL'!$E$5</f>
        <v>34716.4958448</v>
      </c>
    </row>
    <row r="19" customFormat="false" ht="15" hidden="false" customHeight="true" outlineLevel="0" collapsed="false">
      <c r="A19" s="1" t="s">
        <v>1110</v>
      </c>
      <c r="B19" s="66" t="s">
        <v>1111</v>
      </c>
      <c r="C19" s="68" t="n">
        <f aca="false">-'1-Inputs'!$C$174*'1-Inputs'!$C$176*'1-Inputs'!$C$8*'1-Inputs'!$C$107*(1+'1-Inputs'!$C$161)^2*'4-PL'!$E$5</f>
        <v>-174787.2</v>
      </c>
    </row>
    <row r="20" customFormat="false" ht="15" hidden="false" customHeight="true" outlineLevel="0" collapsed="false">
      <c r="A20" s="1" t="s">
        <v>1112</v>
      </c>
      <c r="B20" s="66" t="s">
        <v>1098</v>
      </c>
      <c r="C20" s="68" t="n">
        <f aca="false">-'1-Inputs'!$C$109*'3-CAPEX'!C12*(1+'1-Inputs'!$C$161)^2*'4-PL'!$E$5</f>
        <v>-17894.88</v>
      </c>
    </row>
    <row r="21" customFormat="false" ht="15" hidden="false" customHeight="true" outlineLevel="0" collapsed="false">
      <c r="A21" s="1" t="s">
        <v>1113</v>
      </c>
      <c r="B21" s="66" t="s">
        <v>1061</v>
      </c>
      <c r="C21" s="68" t="n">
        <f aca="false">-'3-CAPEX'!C12/'1-Inputs'!$C$160</f>
        <v>-28666.6666666667</v>
      </c>
    </row>
    <row r="22" customFormat="false" ht="15" hidden="false" customHeight="true" outlineLevel="0" collapsed="false">
      <c r="A22" s="1" t="s">
        <v>1114</v>
      </c>
      <c r="B22" s="69" t="s">
        <v>1115</v>
      </c>
      <c r="C22" s="70" t="n">
        <f aca="false">SUM(C17:C21)</f>
        <v>-2922.16426186672</v>
      </c>
      <c r="D22" s="1" t="s">
        <v>1116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2026-09-21T07:56:10Z</dcterms:created>
  <dc:creator>openpyxl</dc:creator>
  <dc:description/>
  <dc:language>en-US</dc:language>
  <cp:lastModifiedBy/>
  <dcterms:modified xsi:type="dcterms:W3CDTF">2026-09-21T09:36:57Z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