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W except glass" sheetId="1" r:id="rId4"/>
    <sheet state="visible" name="Sheet3" sheetId="2" r:id="rId5"/>
    <sheet state="visible" name="recycling snapshots" sheetId="3" r:id="rId6"/>
  </sheets>
  <definedNames/>
  <calcPr/>
</workbook>
</file>

<file path=xl/sharedStrings.xml><?xml version="1.0" encoding="utf-8"?>
<sst xmlns="http://schemas.openxmlformats.org/spreadsheetml/2006/main" count="159" uniqueCount="124">
  <si>
    <t>Plastic Type</t>
  </si>
  <si>
    <t>Estimated Share in MSW</t>
  </si>
  <si>
    <t>Recyclability</t>
  </si>
  <si>
    <t>not recycled</t>
  </si>
  <si>
    <t>remaining</t>
  </si>
  <si>
    <t>Main Challenges</t>
  </si>
  <si>
    <t>Polyethylene Terephthalate (PET)</t>
  </si>
  <si>
    <t>✅ High</t>
  </si>
  <si>
    <t>Color sorting issues; contamination from food residues.</t>
  </si>
  <si>
    <t>High-Density Polyethylene (HDPE)</t>
  </si>
  <si>
    <t>Presence of labels and pigments; requires thorough cleaning.</t>
  </si>
  <si>
    <t>Low-Density Polyethylene (LDPE)</t>
  </si>
  <si>
    <t>⚠️ Moderate</t>
  </si>
  <si>
    <t>Difficult to sort; films can clog machinery; often contaminated.</t>
  </si>
  <si>
    <t>Polypropylene (PP)</t>
  </si>
  <si>
    <t>Low collection rates; limited recycling infrastructure.</t>
  </si>
  <si>
    <t>Polystyrene (PS)</t>
  </si>
  <si>
    <t>❌ Low</t>
  </si>
  <si>
    <t>Brittle nature; often contaminated; limited recycling options.</t>
  </si>
  <si>
    <t>Polyvinyl Chloride (PVC)</t>
  </si>
  <si>
    <t>Contains chlorine; releases toxic substances when improperly processed.</t>
  </si>
  <si>
    <t>Other Plastics (e.g., composites)</t>
  </si>
  <si>
    <t>❌ Very Low</t>
  </si>
  <si>
    <t>Complex structures; difficult to separate; lack of recycling facilities.</t>
  </si>
  <si>
    <t>per ton</t>
  </si>
  <si>
    <t>missing</t>
  </si>
  <si>
    <t>% per ton ofMSW</t>
  </si>
  <si>
    <t>new dispatch after  recycling</t>
  </si>
  <si>
    <t>organic</t>
  </si>
  <si>
    <t>metals</t>
  </si>
  <si>
    <t>sand / silica</t>
  </si>
  <si>
    <t>plastic</t>
  </si>
  <si>
    <t>Item</t>
  </si>
  <si>
    <t>Recycled</t>
  </si>
  <si>
    <t>Incinerated</t>
  </si>
  <si>
    <t>Landfilled</t>
  </si>
  <si>
    <t>Paper &amp; Food (Organics)</t>
  </si>
  <si>
    <t>~45%</t>
  </si>
  <si>
    <t>~40%</t>
  </si>
  <si>
    <t>~15%</t>
  </si>
  <si>
    <t>Plastics &amp; Resins</t>
  </si>
  <si>
    <t>~26%</t>
  </si>
  <si>
    <t>~59%</t>
  </si>
  <si>
    <t>Metals</t>
  </si>
  <si>
    <t>~70%</t>
  </si>
  <si>
    <t>~20%</t>
  </si>
  <si>
    <t>~10%</t>
  </si>
  <si>
    <t>Factor</t>
  </si>
  <si>
    <t>Landfilling</t>
  </si>
  <si>
    <t>Incineration (WTE)</t>
  </si>
  <si>
    <t>Urban RIG</t>
  </si>
  <si>
    <t>GHG emissions</t>
  </si>
  <si>
    <t>High (methane)</t>
  </si>
  <si>
    <t>Moderate-high (CO₂, dioxins)</t>
  </si>
  <si>
    <t>Low, mostly biogenic CO₂</t>
  </si>
  <si>
    <t>Energy recovery</t>
  </si>
  <si>
    <t>None</t>
  </si>
  <si>
    <t>Medium</t>
  </si>
  <si>
    <t>High (liquid fuels, reusable heat)</t>
  </si>
  <si>
    <t>Residue volume</t>
  </si>
  <si>
    <t>100% (buried)</t>
  </si>
  <si>
    <t>20–30% ash</t>
  </si>
  <si>
    <t>Minimal, stable char</t>
  </si>
  <si>
    <t>Waste Category</t>
  </si>
  <si>
    <t>Recalculated Share (%)</t>
  </si>
  <si>
    <t>Metal recovery</t>
  </si>
  <si>
    <t>Lost or buried</t>
  </si>
  <si>
    <t>Often oxidized</t>
  </si>
  <si>
    <t>Recovered non-oxidized</t>
  </si>
  <si>
    <t>Food and Organic Waste</t>
  </si>
  <si>
    <t>Feedstock quality needed</t>
  </si>
  <si>
    <t>Low</t>
  </si>
  <si>
    <t>Moderate</t>
  </si>
  <si>
    <t>Low (accepts mixed/dirty)</t>
  </si>
  <si>
    <t>Paper and Cardboard</t>
  </si>
  <si>
    <t>Pollution risk</t>
  </si>
  <si>
    <t>High (leachate)</t>
  </si>
  <si>
    <t>High (air pollutants)</t>
  </si>
  <si>
    <t>Low with filtration</t>
  </si>
  <si>
    <t>Plastics</t>
  </si>
  <si>
    <t>Total</t>
  </si>
  <si>
    <t>MSW Component</t>
  </si>
  <si>
    <t>% of MSW</t>
  </si>
  <si>
    <t>Conventional Treatment</t>
  </si>
  <si>
    <t>Urban RIG Treatment</t>
  </si>
  <si>
    <t>Key Advantages of Urban RIG</t>
  </si>
  <si>
    <t>Organic (food waste)</t>
  </si>
  <si>
    <t>Composting or anaerobic digestion</t>
  </si>
  <si>
    <t>Converted into hydrocarbon-rich liquids and stable residue</t>
  </si>
  <si>
    <t>No methane emissions, no drying needed, high energy recovery</t>
  </si>
  <si>
    <t>Plastic</t>
  </si>
  <si>
    <t>Mechanical/chemical recycling, incineration</t>
  </si>
  <si>
    <t>Thermally converted into liquid hydrocarbons</t>
  </si>
  <si>
    <t>Accepts mixed/dirty plastics, fuel generation, avoids landfill</t>
  </si>
  <si>
    <t>Recycled if separated; oxidized or lost in incineration</t>
  </si>
  <si>
    <t>Recovered in metallic form due to low-oxygen environment</t>
  </si>
  <si>
    <t>Non-oxidized recovery of: steel (from tires), copper (from wires), aluminum (from Tetrapak &amp; laminated packs)</t>
  </si>
  <si>
    <t>High (methane release)</t>
  </si>
  <si>
    <t>Low (mostly biogenic CO₂, no methane)</t>
  </si>
  <si>
    <t>Medium (electricity + heat)</t>
  </si>
  <si>
    <t>High (liquid fuels + heat potential)</t>
  </si>
  <si>
    <t>100% remains</t>
  </si>
  <si>
    <t>20–30% bottom ash + fly ash</t>
  </si>
  <si>
    <t>Minimal, inert char</t>
  </si>
  <si>
    <t>Often lost or corroded</t>
  </si>
  <si>
    <t>Often oxidized (recovered in ash)</t>
  </si>
  <si>
    <t>Recovered non-oxidized (steel, aluminum, copper)</t>
  </si>
  <si>
    <t>Feedstock quality</t>
  </si>
  <si>
    <t>Moderate (pre-treatment needed)</t>
  </si>
  <si>
    <t>Low – accepts dirty, mixed, hybrid materials</t>
  </si>
  <si>
    <t>Pollution control</t>
  </si>
  <si>
    <t>Leachate management</t>
  </si>
  <si>
    <t>Complex (filters, scrubbers, etc.)</t>
  </si>
  <si>
    <t>Low risk (low-temp closed-loop system)</t>
  </si>
  <si>
    <t>Waste Type</t>
  </si>
  <si>
    <t>Recycled (%)</t>
  </si>
  <si>
    <t>Composted / Digested (%)</t>
  </si>
  <si>
    <t>Energy Recovery (%)</t>
  </si>
  <si>
    <t>Landfilled (%)</t>
  </si>
  <si>
    <t>Glass</t>
  </si>
  <si>
    <t>Paper/Cardboard</t>
  </si>
  <si>
    <t>Textiles</t>
  </si>
  <si>
    <t>Bio-waste</t>
  </si>
  <si>
    <t>Mixed Residual Waste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</si>
</sst>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8.0"/>
      <color theme="1"/>
      <name val="&quot;Liberation Sans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9" xfId="0" applyAlignment="1" applyBorder="1" applyFont="1" applyNumberFormat="1">
      <alignment readingOrder="0" shrinkToFit="0" vertical="center" wrapText="0"/>
    </xf>
    <xf borderId="0" fillId="0" fontId="2" numFmtId="9" xfId="0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0" xfId="0" applyFont="1" applyNumberFormat="1"/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10" xfId="0" applyAlignment="1" applyFont="1" applyNumberFormat="1">
      <alignment readingOrder="0" shrinkToFit="0" vertical="center" wrapText="1"/>
    </xf>
    <xf borderId="0" fillId="0" fontId="2" numFmtId="9" xfId="0" applyAlignment="1" applyFont="1" applyNumberForma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righ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MSW except glas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3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3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3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3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3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ycling snapsho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8" displayName="Table1" name="Table1" id="1">
  <tableColumns count="6">
    <tableColumn name="Plastic Type" id="1"/>
    <tableColumn name="Estimated Share in MSW" id="2"/>
    <tableColumn name="Recyclability" id="3"/>
    <tableColumn name="not recycled" id="4"/>
    <tableColumn name="remaining" id="5"/>
    <tableColumn name="Main Challenges" id="6"/>
  </tableColumns>
  <tableStyleInfo name="MSW except glass-style" showColumnStripes="0" showFirstColumn="1" showLastColumn="1" showRowStripes="1"/>
</table>
</file>

<file path=xl/tables/table2.xml><?xml version="1.0" encoding="utf-8"?>
<table xmlns="http://schemas.openxmlformats.org/spreadsheetml/2006/main" ref="A1:D4" displayName="Table3" name="Table3" id="2">
  <tableColumns count="4">
    <tableColumn name="Item" id="1"/>
    <tableColumn name="Recycled" id="2"/>
    <tableColumn name="Incinerated" id="3"/>
    <tableColumn name="Landfilled" id="4"/>
  </tableColumns>
  <tableStyleInfo name="Sheet3-style" showColumnStripes="0" showFirstColumn="1" showLastColumn="1" showRowStripes="1"/>
</table>
</file>

<file path=xl/tables/table3.xml><?xml version="1.0" encoding="utf-8"?>
<table xmlns="http://schemas.openxmlformats.org/spreadsheetml/2006/main" ref="F7:I13" displayName="Table4" name="Table4" id="3">
  <tableColumns count="4">
    <tableColumn name="Factor" id="1"/>
    <tableColumn name="Landfilling" id="2"/>
    <tableColumn name="Incineration (WTE)" id="3"/>
    <tableColumn name="Urban RIG" id="4"/>
  </tableColumns>
  <tableStyleInfo name="Sheet3-style 2" showColumnStripes="0" showFirstColumn="1" showLastColumn="1" showRowStripes="1"/>
</table>
</file>

<file path=xl/tables/table4.xml><?xml version="1.0" encoding="utf-8"?>
<table xmlns="http://schemas.openxmlformats.org/spreadsheetml/2006/main" ref="A11:B15" displayName="Table8" name="Table8" id="4">
  <tableColumns count="2">
    <tableColumn name="Waste Category" id="1"/>
    <tableColumn name="Recalculated Share (%)" id="2"/>
  </tableColumns>
  <tableStyleInfo name="Sheet3-style 3" showColumnStripes="0" showFirstColumn="1" showLastColumn="1" showRowStripes="1"/>
</table>
</file>

<file path=xl/tables/table5.xml><?xml version="1.0" encoding="utf-8"?>
<table xmlns="http://schemas.openxmlformats.org/spreadsheetml/2006/main" ref="K16:O19" displayName="Table5" name="Table5" id="5">
  <tableColumns count="5">
    <tableColumn name="MSW Component" id="1"/>
    <tableColumn name="% of MSW" id="2"/>
    <tableColumn name="Conventional Treatment" id="3"/>
    <tableColumn name="Urban RIG Treatment" id="4"/>
    <tableColumn name="Key Advantages of Urban RIG" id="5"/>
  </tableColumns>
  <tableStyleInfo name="Sheet3-style 4" showColumnStripes="0" showFirstColumn="1" showLastColumn="1" showRowStripes="1"/>
</table>
</file>

<file path=xl/tables/table6.xml><?xml version="1.0" encoding="utf-8"?>
<table xmlns="http://schemas.openxmlformats.org/spreadsheetml/2006/main" ref="K22:O25" displayName="Table6" name="Table6" id="6">
  <tableColumns count="5">
    <tableColumn name="MSW Component" id="1"/>
    <tableColumn name="% of MSW" id="2"/>
    <tableColumn name="Conventional Treatment" id="3"/>
    <tableColumn name="Urban RIG Treatment" id="4"/>
    <tableColumn name="Key Advantages of Urban RIG" id="5"/>
  </tableColumns>
  <tableStyleInfo name="Sheet3-style 5" showColumnStripes="0" showFirstColumn="1" showLastColumn="1" showRowStripes="1"/>
</table>
</file>

<file path=xl/tables/table7.xml><?xml version="1.0" encoding="utf-8"?>
<table xmlns="http://schemas.openxmlformats.org/spreadsheetml/2006/main" ref="K29:N35" displayName="Table7" name="Table7" id="7">
  <tableColumns count="4">
    <tableColumn name="Factor" id="1"/>
    <tableColumn name="Landfilling" id="2"/>
    <tableColumn name="Incineration (WTE)" id="3"/>
    <tableColumn name="Urban RIG" id="4"/>
  </tableColumns>
  <tableStyleInfo name="Sheet3-style 6" showColumnStripes="0" showFirstColumn="1" showLastColumn="1" showRowStripes="1"/>
</table>
</file>

<file path=xl/tables/table8.xml><?xml version="1.0" encoding="utf-8"?>
<table xmlns="http://schemas.openxmlformats.org/spreadsheetml/2006/main" ref="A1:E8" displayName="Table2" name="Table2" id="8">
  <tableColumns count="5">
    <tableColumn name="Waste Type" id="1"/>
    <tableColumn name="Recycled (%)" id="2"/>
    <tableColumn name="Composted / Digested (%)" id="3"/>
    <tableColumn name="Energy Recovery (%)" id="4"/>
    <tableColumn name="Landfilled (%)" id="5"/>
  </tableColumns>
  <tableStyleInfo name="recycling snapsho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0"/>
    <col customWidth="1" min="2" max="2" width="27.25"/>
    <col customWidth="1" min="3" max="3" width="15.0"/>
    <col customWidth="1" min="4" max="4" width="18.13"/>
    <col customWidth="1" min="5" max="5" width="16.25"/>
    <col customWidth="1" min="6" max="6" width="5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0.25</v>
      </c>
      <c r="C2" s="2" t="s">
        <v>7</v>
      </c>
      <c r="D2" s="3">
        <v>0.66</v>
      </c>
      <c r="E2" s="3">
        <f t="shared" ref="E2:E8" si="1">D2*B2</f>
        <v>0.165</v>
      </c>
      <c r="F2" s="2" t="s">
        <v>8</v>
      </c>
    </row>
    <row r="3">
      <c r="A3" s="2" t="s">
        <v>9</v>
      </c>
      <c r="B3" s="3">
        <v>0.2</v>
      </c>
      <c r="C3" s="2" t="s">
        <v>7</v>
      </c>
      <c r="D3" s="3">
        <v>0.36</v>
      </c>
      <c r="E3" s="3">
        <f t="shared" si="1"/>
        <v>0.072</v>
      </c>
      <c r="F3" s="2" t="s">
        <v>10</v>
      </c>
    </row>
    <row r="4">
      <c r="A4" s="2" t="s">
        <v>11</v>
      </c>
      <c r="B4" s="3">
        <v>0.2</v>
      </c>
      <c r="C4" s="2" t="s">
        <v>12</v>
      </c>
      <c r="D4" s="3">
        <v>0.88</v>
      </c>
      <c r="E4" s="3">
        <f t="shared" si="1"/>
        <v>0.176</v>
      </c>
      <c r="F4" s="2" t="s">
        <v>13</v>
      </c>
    </row>
    <row r="5">
      <c r="A5" s="2" t="s">
        <v>14</v>
      </c>
      <c r="B5" s="3">
        <v>0.15</v>
      </c>
      <c r="C5" s="2" t="s">
        <v>12</v>
      </c>
      <c r="D5" s="3">
        <v>0.9</v>
      </c>
      <c r="E5" s="3">
        <f t="shared" si="1"/>
        <v>0.135</v>
      </c>
      <c r="F5" s="2" t="s">
        <v>15</v>
      </c>
    </row>
    <row r="6">
      <c r="A6" s="2" t="s">
        <v>16</v>
      </c>
      <c r="B6" s="3">
        <v>0.1</v>
      </c>
      <c r="C6" s="2" t="s">
        <v>17</v>
      </c>
      <c r="D6" s="3">
        <v>0.95</v>
      </c>
      <c r="E6" s="3">
        <f t="shared" si="1"/>
        <v>0.095</v>
      </c>
      <c r="F6" s="2" t="s">
        <v>18</v>
      </c>
    </row>
    <row r="7">
      <c r="A7" s="2" t="s">
        <v>19</v>
      </c>
      <c r="B7" s="3">
        <v>0.05</v>
      </c>
      <c r="C7" s="2" t="s">
        <v>17</v>
      </c>
      <c r="D7" s="3">
        <v>0.97</v>
      </c>
      <c r="E7" s="3">
        <f t="shared" si="1"/>
        <v>0.0485</v>
      </c>
      <c r="F7" s="2" t="s">
        <v>20</v>
      </c>
    </row>
    <row r="8">
      <c r="A8" s="2" t="s">
        <v>21</v>
      </c>
      <c r="B8" s="3">
        <v>0.05</v>
      </c>
      <c r="C8" s="2" t="s">
        <v>22</v>
      </c>
      <c r="D8" s="3">
        <v>1.0</v>
      </c>
      <c r="E8" s="3">
        <f t="shared" si="1"/>
        <v>0.05</v>
      </c>
      <c r="F8" s="2" t="s">
        <v>23</v>
      </c>
    </row>
    <row r="9">
      <c r="E9" s="4">
        <f>SUM(E2:E8)</f>
        <v>0.7415</v>
      </c>
    </row>
    <row r="10">
      <c r="D10" s="5" t="s">
        <v>24</v>
      </c>
      <c r="E10" s="6">
        <f>E9*250</f>
        <v>185.375</v>
      </c>
    </row>
    <row r="11">
      <c r="D11" s="5" t="s">
        <v>25</v>
      </c>
      <c r="E11" s="6">
        <f>250-E10</f>
        <v>64.625</v>
      </c>
    </row>
    <row r="12">
      <c r="D12" s="5" t="s">
        <v>26</v>
      </c>
      <c r="E12" s="6">
        <f>E10/945</f>
        <v>0.1961640212</v>
      </c>
    </row>
    <row r="17">
      <c r="B17" s="5" t="s">
        <v>27</v>
      </c>
      <c r="D17" s="5" t="s">
        <v>28</v>
      </c>
      <c r="E17" s="5">
        <v>650.0</v>
      </c>
      <c r="F17" s="7">
        <f t="shared" ref="F17:F21" si="2">E17/$E$21</f>
        <v>0.6951871658</v>
      </c>
    </row>
    <row r="18">
      <c r="D18" s="5" t="s">
        <v>29</v>
      </c>
      <c r="E18" s="5">
        <v>70.0</v>
      </c>
      <c r="F18" s="7">
        <f t="shared" si="2"/>
        <v>0.07486631016</v>
      </c>
    </row>
    <row r="19">
      <c r="D19" s="5" t="s">
        <v>30</v>
      </c>
      <c r="E19" s="5">
        <v>30.0</v>
      </c>
      <c r="F19" s="7">
        <f t="shared" si="2"/>
        <v>0.0320855615</v>
      </c>
    </row>
    <row r="20">
      <c r="D20" s="5" t="s">
        <v>31</v>
      </c>
      <c r="E20" s="5">
        <v>185.0</v>
      </c>
      <c r="F20" s="7">
        <f t="shared" si="2"/>
        <v>0.1978609626</v>
      </c>
    </row>
    <row r="21">
      <c r="E21" s="6">
        <f>SUM(E17:E20)</f>
        <v>935</v>
      </c>
      <c r="F21" s="7">
        <f t="shared" si="2"/>
        <v>1</v>
      </c>
    </row>
  </sheetData>
  <dataValidations>
    <dataValidation type="custom" allowBlank="1" showDropDown="1" sqref="B2:B8 D2:E8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17.63"/>
    <col customWidth="1" min="3" max="3" width="14.0"/>
    <col customWidth="1" min="4" max="4" width="12.88"/>
    <col customWidth="1" min="6" max="6" width="21.13"/>
    <col customWidth="1" min="7" max="7" width="13.75"/>
    <col customWidth="1" min="8" max="8" width="23.38"/>
    <col customWidth="1" min="9" max="9" width="26.13"/>
    <col customWidth="1" min="11" max="11" width="18.5"/>
    <col customWidth="1" min="12" max="12" width="16.25"/>
    <col customWidth="1" min="13" max="15" width="37.63"/>
  </cols>
  <sheetData>
    <row r="1">
      <c r="A1" s="1" t="s">
        <v>32</v>
      </c>
      <c r="B1" s="1" t="s">
        <v>33</v>
      </c>
      <c r="C1" s="1" t="s">
        <v>34</v>
      </c>
      <c r="D1" s="1" t="s">
        <v>35</v>
      </c>
    </row>
    <row r="2">
      <c r="A2" s="8" t="s">
        <v>36</v>
      </c>
      <c r="B2" s="8" t="s">
        <v>37</v>
      </c>
      <c r="C2" s="8" t="s">
        <v>38</v>
      </c>
      <c r="D2" s="8" t="s">
        <v>39</v>
      </c>
    </row>
    <row r="3">
      <c r="A3" s="8" t="s">
        <v>40</v>
      </c>
      <c r="B3" s="8" t="s">
        <v>41</v>
      </c>
      <c r="C3" s="8" t="s">
        <v>42</v>
      </c>
      <c r="D3" s="8" t="s">
        <v>39</v>
      </c>
    </row>
    <row r="4">
      <c r="A4" s="8" t="s">
        <v>43</v>
      </c>
      <c r="B4" s="8" t="s">
        <v>44</v>
      </c>
      <c r="C4" s="8" t="s">
        <v>45</v>
      </c>
      <c r="D4" s="8" t="s">
        <v>46</v>
      </c>
    </row>
    <row r="7">
      <c r="F7" s="1" t="s">
        <v>47</v>
      </c>
      <c r="G7" s="1" t="s">
        <v>48</v>
      </c>
      <c r="H7" s="1" t="s">
        <v>49</v>
      </c>
      <c r="I7" s="1" t="s">
        <v>50</v>
      </c>
    </row>
    <row r="8">
      <c r="F8" s="8" t="s">
        <v>51</v>
      </c>
      <c r="G8" s="8" t="s">
        <v>52</v>
      </c>
      <c r="H8" s="8" t="s">
        <v>53</v>
      </c>
      <c r="I8" s="8" t="s">
        <v>54</v>
      </c>
    </row>
    <row r="9">
      <c r="F9" s="8" t="s">
        <v>55</v>
      </c>
      <c r="G9" s="8" t="s">
        <v>56</v>
      </c>
      <c r="H9" s="8" t="s">
        <v>57</v>
      </c>
      <c r="I9" s="8" t="s">
        <v>58</v>
      </c>
    </row>
    <row r="10">
      <c r="F10" s="8" t="s">
        <v>59</v>
      </c>
      <c r="G10" s="8" t="s">
        <v>60</v>
      </c>
      <c r="H10" s="8" t="s">
        <v>61</v>
      </c>
      <c r="I10" s="8" t="s">
        <v>62</v>
      </c>
    </row>
    <row r="11">
      <c r="A11" s="9" t="s">
        <v>63</v>
      </c>
      <c r="B11" s="9" t="s">
        <v>64</v>
      </c>
      <c r="F11" s="8" t="s">
        <v>65</v>
      </c>
      <c r="G11" s="8" t="s">
        <v>66</v>
      </c>
      <c r="H11" s="8" t="s">
        <v>67</v>
      </c>
      <c r="I11" s="8" t="s">
        <v>68</v>
      </c>
    </row>
    <row r="12">
      <c r="A12" s="10" t="s">
        <v>69</v>
      </c>
      <c r="B12" s="11">
        <v>0.471</v>
      </c>
      <c r="F12" s="8" t="s">
        <v>70</v>
      </c>
      <c r="G12" s="8" t="s">
        <v>71</v>
      </c>
      <c r="H12" s="8" t="s">
        <v>72</v>
      </c>
      <c r="I12" s="8" t="s">
        <v>73</v>
      </c>
    </row>
    <row r="13">
      <c r="A13" s="10" t="s">
        <v>74</v>
      </c>
      <c r="B13" s="11">
        <v>0.328</v>
      </c>
      <c r="F13" s="8" t="s">
        <v>75</v>
      </c>
      <c r="G13" s="8" t="s">
        <v>76</v>
      </c>
      <c r="H13" s="8" t="s">
        <v>77</v>
      </c>
      <c r="I13" s="8" t="s">
        <v>78</v>
      </c>
    </row>
    <row r="14">
      <c r="A14" s="10" t="s">
        <v>79</v>
      </c>
      <c r="B14" s="11">
        <v>0.201</v>
      </c>
    </row>
    <row r="15">
      <c r="A15" s="10" t="s">
        <v>80</v>
      </c>
      <c r="B15" s="12">
        <v>1.0</v>
      </c>
    </row>
    <row r="16">
      <c r="K16" s="1" t="s">
        <v>81</v>
      </c>
      <c r="L16" s="1" t="s">
        <v>82</v>
      </c>
      <c r="M16" s="1" t="s">
        <v>83</v>
      </c>
      <c r="N16" s="1" t="s">
        <v>84</v>
      </c>
      <c r="O16" s="1" t="s">
        <v>85</v>
      </c>
    </row>
    <row r="17">
      <c r="K17" s="10" t="s">
        <v>86</v>
      </c>
      <c r="L17" s="11">
        <v>0.6952</v>
      </c>
      <c r="M17" s="10" t="s">
        <v>87</v>
      </c>
      <c r="N17" s="10" t="s">
        <v>88</v>
      </c>
      <c r="O17" s="10" t="s">
        <v>89</v>
      </c>
    </row>
    <row r="18">
      <c r="K18" s="10" t="s">
        <v>90</v>
      </c>
      <c r="L18" s="11">
        <v>0.1979</v>
      </c>
      <c r="M18" s="10" t="s">
        <v>91</v>
      </c>
      <c r="N18" s="10" t="s">
        <v>92</v>
      </c>
      <c r="O18" s="10" t="s">
        <v>93</v>
      </c>
    </row>
    <row r="19">
      <c r="K19" s="10" t="s">
        <v>43</v>
      </c>
      <c r="L19" s="11">
        <v>0.0749</v>
      </c>
      <c r="M19" s="10" t="s">
        <v>94</v>
      </c>
      <c r="N19" s="10" t="s">
        <v>95</v>
      </c>
      <c r="O19" s="10" t="s">
        <v>96</v>
      </c>
    </row>
    <row r="22">
      <c r="K22" s="9" t="s">
        <v>81</v>
      </c>
      <c r="L22" s="9" t="s">
        <v>82</v>
      </c>
      <c r="M22" s="9" t="s">
        <v>83</v>
      </c>
      <c r="N22" s="9" t="s">
        <v>84</v>
      </c>
      <c r="O22" s="9" t="s">
        <v>85</v>
      </c>
    </row>
    <row r="23">
      <c r="K23" s="10" t="s">
        <v>86</v>
      </c>
      <c r="L23" s="12">
        <v>0.65</v>
      </c>
      <c r="M23" s="10" t="s">
        <v>87</v>
      </c>
      <c r="N23" s="10" t="s">
        <v>88</v>
      </c>
      <c r="O23" s="10" t="s">
        <v>89</v>
      </c>
    </row>
    <row r="24">
      <c r="K24" s="10" t="s">
        <v>90</v>
      </c>
      <c r="L24" s="12">
        <v>0.25</v>
      </c>
      <c r="M24" s="10" t="s">
        <v>91</v>
      </c>
      <c r="N24" s="10" t="s">
        <v>92</v>
      </c>
      <c r="O24" s="10" t="s">
        <v>93</v>
      </c>
    </row>
    <row r="25">
      <c r="K25" s="10" t="s">
        <v>43</v>
      </c>
      <c r="L25" s="12">
        <v>0.07</v>
      </c>
      <c r="M25" s="10" t="s">
        <v>94</v>
      </c>
      <c r="N25" s="10" t="s">
        <v>95</v>
      </c>
      <c r="O25" s="10" t="s">
        <v>96</v>
      </c>
    </row>
    <row r="29">
      <c r="K29" s="9" t="s">
        <v>47</v>
      </c>
      <c r="L29" s="9" t="s">
        <v>48</v>
      </c>
      <c r="M29" s="9" t="s">
        <v>49</v>
      </c>
      <c r="N29" s="9" t="s">
        <v>50</v>
      </c>
    </row>
    <row r="30">
      <c r="K30" s="10" t="s">
        <v>51</v>
      </c>
      <c r="L30" s="10" t="s">
        <v>97</v>
      </c>
      <c r="M30" s="10" t="s">
        <v>53</v>
      </c>
      <c r="N30" s="10" t="s">
        <v>98</v>
      </c>
    </row>
    <row r="31">
      <c r="K31" s="10" t="s">
        <v>55</v>
      </c>
      <c r="L31" s="10" t="s">
        <v>56</v>
      </c>
      <c r="M31" s="10" t="s">
        <v>99</v>
      </c>
      <c r="N31" s="10" t="s">
        <v>100</v>
      </c>
    </row>
    <row r="32">
      <c r="K32" s="10" t="s">
        <v>59</v>
      </c>
      <c r="L32" s="10" t="s">
        <v>101</v>
      </c>
      <c r="M32" s="10" t="s">
        <v>102</v>
      </c>
      <c r="N32" s="10" t="s">
        <v>103</v>
      </c>
    </row>
    <row r="33">
      <c r="K33" s="10" t="s">
        <v>65</v>
      </c>
      <c r="L33" s="10" t="s">
        <v>104</v>
      </c>
      <c r="M33" s="10" t="s">
        <v>105</v>
      </c>
      <c r="N33" s="10" t="s">
        <v>106</v>
      </c>
    </row>
    <row r="34">
      <c r="K34" s="10" t="s">
        <v>107</v>
      </c>
      <c r="L34" s="10" t="s">
        <v>71</v>
      </c>
      <c r="M34" s="10" t="s">
        <v>108</v>
      </c>
      <c r="N34" s="10" t="s">
        <v>109</v>
      </c>
    </row>
    <row r="35">
      <c r="K35" s="10" t="s">
        <v>110</v>
      </c>
      <c r="L35" s="10" t="s">
        <v>111</v>
      </c>
      <c r="M35" s="10" t="s">
        <v>112</v>
      </c>
      <c r="N35" s="10" t="s">
        <v>113</v>
      </c>
    </row>
  </sheetData>
  <dataValidations>
    <dataValidation type="custom" allowBlank="1" showDropDown="1" sqref="L17:L19 L23:L25">
      <formula1>AND(ISNUMBER(L17),(NOT(OR(NOT(ISERROR(DATEVALUE(L17))), AND(ISNUMBER(L17), LEFT(CELL("format", L17))="D")))))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38"/>
    <col customWidth="1" min="3" max="3" width="21.13"/>
    <col customWidth="1" min="4" max="5" width="18.38"/>
  </cols>
  <sheetData>
    <row r="1">
      <c r="A1" s="13" t="s">
        <v>114</v>
      </c>
      <c r="B1" s="13" t="s">
        <v>115</v>
      </c>
      <c r="C1" s="13" t="s">
        <v>116</v>
      </c>
      <c r="D1" s="13" t="s">
        <v>117</v>
      </c>
      <c r="E1" s="13" t="s">
        <v>118</v>
      </c>
    </row>
    <row r="2">
      <c r="A2" s="14" t="s">
        <v>119</v>
      </c>
      <c r="B2" s="15">
        <v>85.0</v>
      </c>
      <c r="C2" s="15">
        <v>0.0</v>
      </c>
      <c r="D2" s="15">
        <v>10.0</v>
      </c>
      <c r="E2" s="15">
        <v>5.0</v>
      </c>
    </row>
    <row r="3">
      <c r="A3" s="14" t="s">
        <v>120</v>
      </c>
      <c r="B3" s="15">
        <v>60.0</v>
      </c>
      <c r="C3" s="15">
        <v>0.0</v>
      </c>
      <c r="D3" s="15">
        <v>30.0</v>
      </c>
      <c r="E3" s="15">
        <v>10.0</v>
      </c>
    </row>
    <row r="4">
      <c r="A4" s="14" t="s">
        <v>43</v>
      </c>
      <c r="B4" s="15">
        <v>50.0</v>
      </c>
      <c r="C4" s="15">
        <v>0.0</v>
      </c>
      <c r="D4" s="15">
        <v>30.0</v>
      </c>
      <c r="E4" s="15">
        <v>20.0</v>
      </c>
    </row>
    <row r="5">
      <c r="A5" s="14" t="s">
        <v>79</v>
      </c>
      <c r="B5" s="15">
        <v>27.0</v>
      </c>
      <c r="C5" s="15">
        <v>0.0</v>
      </c>
      <c r="D5" s="15">
        <v>45.0</v>
      </c>
      <c r="E5" s="15">
        <v>28.0</v>
      </c>
    </row>
    <row r="6">
      <c r="A6" s="14" t="s">
        <v>121</v>
      </c>
      <c r="B6" s="15">
        <v>35.0</v>
      </c>
      <c r="C6" s="15">
        <v>0.0</v>
      </c>
      <c r="D6" s="15">
        <v>40.0</v>
      </c>
      <c r="E6" s="15">
        <v>25.0</v>
      </c>
    </row>
    <row r="7">
      <c r="A7" s="14" t="s">
        <v>122</v>
      </c>
      <c r="B7" s="15">
        <v>0.0</v>
      </c>
      <c r="C7" s="15">
        <v>60.0</v>
      </c>
      <c r="D7" s="15">
        <v>30.0</v>
      </c>
      <c r="E7" s="15">
        <v>10.0</v>
      </c>
    </row>
    <row r="8">
      <c r="A8" s="14" t="s">
        <v>123</v>
      </c>
      <c r="B8" s="15">
        <v>0.0</v>
      </c>
      <c r="C8" s="15">
        <v>0.0</v>
      </c>
      <c r="D8" s="15">
        <v>70.0</v>
      </c>
      <c r="E8" s="15">
        <v>30.0</v>
      </c>
    </row>
  </sheetData>
  <drawing r:id="rId1"/>
  <tableParts count="1">
    <tablePart r:id="rId3"/>
  </tableParts>
</worksheet>
</file>