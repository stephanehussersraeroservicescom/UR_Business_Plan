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10" windowWidth="20115" windowHeight="7935" firstSheet="1" activeTab="5"/>
  </bookViews>
  <sheets>
    <sheet name="Tabelau Fraction" sheetId="4" r:id="rId1"/>
    <sheet name="Tableau Synthèse" sheetId="10" r:id="rId2"/>
    <sheet name="TRAME CAD" sheetId="1" r:id="rId3"/>
    <sheet name="Les Arcs sur Argens" sheetId="5" r:id="rId4"/>
    <sheet name="Draguignan  Bleu A1" sheetId="6" r:id="rId5"/>
    <sheet name="Trans en Provence Ext" sheetId="9" r:id="rId6"/>
    <sheet name="Draguignan Vert-Rouge" sheetId="8" r:id="rId7"/>
    <sheet name="Salernes Ext" sheetId="7" r:id="rId8"/>
    <sheet name="Lorgues" sheetId="3" r:id="rId9"/>
    <sheet name="Flayosc" sheetId="11" r:id="rId10"/>
    <sheet name="Draguignan Rouge A1" sheetId="12" r:id="rId11"/>
    <sheet name="Vidauban" sheetId="13" r:id="rId12"/>
  </sheets>
  <definedNames>
    <definedName name="_xlnm.Print_Area" localSheetId="4">'Draguignan  Bleu A1'!$B$1:$F$55</definedName>
    <definedName name="_xlnm.Print_Area" localSheetId="10">'Draguignan Rouge A1'!$B$1:$F$55</definedName>
    <definedName name="_xlnm.Print_Area" localSheetId="6">'Draguignan Vert-Rouge'!$B$1:$F$55</definedName>
    <definedName name="_xlnm.Print_Area" localSheetId="9">Flayosc!$B$1:$F$55</definedName>
    <definedName name="_xlnm.Print_Area" localSheetId="3">'Les Arcs sur Argens'!$B$1:$F$55</definedName>
    <definedName name="_xlnm.Print_Area" localSheetId="8">Lorgues!$B$1:$F$55</definedName>
    <definedName name="_xlnm.Print_Area" localSheetId="7">'Salernes Ext'!$B$1:$F$55</definedName>
    <definedName name="_xlnm.Print_Area" localSheetId="0">'Tabelau Fraction'!$A$1:$AN$25</definedName>
    <definedName name="_xlnm.Print_Area" localSheetId="1">'Tableau Synthèse'!$A$1:$R$19</definedName>
    <definedName name="_xlnm.Print_Area" localSheetId="2">'TRAME CAD'!$B$1:$F$55</definedName>
    <definedName name="_xlnm.Print_Area" localSheetId="5">'Trans en Provence Ext'!$B$1:$F$55</definedName>
    <definedName name="_xlnm.Print_Area" localSheetId="11">Vidauban!$B$1:$F$55</definedName>
  </definedNames>
  <calcPr calcId="145621"/>
</workbook>
</file>

<file path=xl/calcChain.xml><?xml version="1.0" encoding="utf-8"?>
<calcChain xmlns="http://schemas.openxmlformats.org/spreadsheetml/2006/main">
  <c r="D37" i="13" l="1"/>
  <c r="D36" i="13"/>
  <c r="D38" i="13"/>
  <c r="D34" i="13"/>
  <c r="D31" i="13"/>
  <c r="D29" i="13"/>
  <c r="D28" i="13"/>
  <c r="D27" i="13"/>
  <c r="D24" i="13"/>
  <c r="D4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4" i="12"/>
  <c r="D22" i="12"/>
  <c r="D38" i="11"/>
  <c r="D37" i="11"/>
  <c r="D36" i="11"/>
  <c r="D35" i="11"/>
  <c r="D34" i="11"/>
  <c r="D31" i="11"/>
  <c r="D29" i="11"/>
  <c r="D28" i="11"/>
  <c r="D27" i="11"/>
  <c r="D14" i="11" l="1"/>
  <c r="D49" i="3"/>
  <c r="D38" i="3"/>
  <c r="D37" i="3"/>
  <c r="D36" i="3"/>
  <c r="D34" i="3"/>
  <c r="D32" i="3"/>
  <c r="D31" i="3"/>
  <c r="D29" i="3"/>
  <c r="D28" i="3"/>
  <c r="D27" i="3"/>
  <c r="D42" i="7"/>
  <c r="D38" i="7"/>
  <c r="D37" i="7"/>
  <c r="D36" i="7"/>
  <c r="D34" i="7"/>
  <c r="D31" i="7"/>
  <c r="D29" i="7"/>
  <c r="D28" i="7"/>
  <c r="D27" i="7"/>
  <c r="D24" i="7"/>
  <c r="D38" i="8"/>
  <c r="D37" i="8"/>
  <c r="D34" i="8"/>
  <c r="D31" i="8"/>
  <c r="D29" i="8"/>
  <c r="D28" i="8"/>
  <c r="D27" i="8"/>
  <c r="D49" i="9"/>
  <c r="D38" i="9"/>
  <c r="D37" i="9"/>
  <c r="D36" i="9"/>
  <c r="D34" i="9"/>
  <c r="D31" i="9"/>
  <c r="D29" i="9"/>
  <c r="D28" i="9"/>
  <c r="D27" i="9"/>
  <c r="D38" i="6"/>
  <c r="D37" i="6"/>
  <c r="D36" i="6"/>
  <c r="D34" i="6"/>
  <c r="D31" i="6"/>
  <c r="D29" i="6"/>
  <c r="D28" i="6"/>
  <c r="D27" i="6"/>
  <c r="D24" i="6"/>
  <c r="D38" i="5"/>
  <c r="D37" i="5"/>
  <c r="D36" i="5"/>
  <c r="D34" i="5"/>
  <c r="D33" i="5"/>
  <c r="D32" i="5"/>
  <c r="D31" i="5"/>
  <c r="D29" i="5"/>
  <c r="D28" i="5"/>
  <c r="D27" i="5"/>
  <c r="D24" i="5"/>
  <c r="D20" i="5"/>
  <c r="D51" i="12" l="1"/>
  <c r="D51" i="11"/>
  <c r="F40" i="11" l="1"/>
  <c r="AE19" i="4" s="1"/>
  <c r="F41" i="11"/>
  <c r="AF19" i="4" s="1"/>
  <c r="F45" i="11"/>
  <c r="AJ19" i="4" s="1"/>
  <c r="F42" i="11"/>
  <c r="AG19" i="4" s="1"/>
  <c r="F46" i="11"/>
  <c r="AK19" i="4" s="1"/>
  <c r="F43" i="11"/>
  <c r="AH19" i="4" s="1"/>
  <c r="F47" i="11"/>
  <c r="AL19" i="4" s="1"/>
  <c r="F44" i="11"/>
  <c r="AI19" i="4" s="1"/>
  <c r="D51" i="13"/>
  <c r="F45" i="12"/>
  <c r="AJ21" i="4" s="1"/>
  <c r="F41" i="12"/>
  <c r="AF21" i="4" s="1"/>
  <c r="F30" i="12"/>
  <c r="V21" i="4" s="1"/>
  <c r="F26" i="12"/>
  <c r="R21" i="4" s="1"/>
  <c r="F21" i="12"/>
  <c r="N21" i="4" s="1"/>
  <c r="F49" i="12"/>
  <c r="AM21" i="4" s="1"/>
  <c r="F44" i="12"/>
  <c r="AI21" i="4" s="1"/>
  <c r="F40" i="12"/>
  <c r="AE21" i="4" s="1"/>
  <c r="F36" i="12"/>
  <c r="AB21" i="4" s="1"/>
  <c r="F33" i="12"/>
  <c r="Y21" i="4" s="1"/>
  <c r="F29" i="12"/>
  <c r="U21" i="4" s="1"/>
  <c r="F24" i="12"/>
  <c r="Q21" i="4" s="1"/>
  <c r="C17" i="10" s="1"/>
  <c r="F20" i="12"/>
  <c r="M21" i="4" s="1"/>
  <c r="F47" i="12"/>
  <c r="AL21" i="4" s="1"/>
  <c r="F43" i="12"/>
  <c r="AH21" i="4" s="1"/>
  <c r="F38" i="12"/>
  <c r="AD21" i="4" s="1"/>
  <c r="P17" i="10" s="1"/>
  <c r="F35" i="12"/>
  <c r="AA21" i="4" s="1"/>
  <c r="M17" i="10" s="1"/>
  <c r="F32" i="12"/>
  <c r="X21" i="4" s="1"/>
  <c r="J17" i="10" s="1"/>
  <c r="F28" i="12"/>
  <c r="T21" i="4" s="1"/>
  <c r="F23" i="12"/>
  <c r="P21" i="4" s="1"/>
  <c r="F19" i="12"/>
  <c r="L21" i="4" s="1"/>
  <c r="F46" i="12"/>
  <c r="AK21" i="4" s="1"/>
  <c r="F42" i="12"/>
  <c r="AG21" i="4" s="1"/>
  <c r="F37" i="12"/>
  <c r="AC21" i="4" s="1"/>
  <c r="F34" i="12"/>
  <c r="Z21" i="4" s="1"/>
  <c r="F31" i="12"/>
  <c r="W21" i="4" s="1"/>
  <c r="F27" i="12"/>
  <c r="S21" i="4" s="1"/>
  <c r="F22" i="12"/>
  <c r="O21" i="4" s="1"/>
  <c r="F36" i="11"/>
  <c r="AB19" i="4" s="1"/>
  <c r="F33" i="11"/>
  <c r="Y19" i="4" s="1"/>
  <c r="F29" i="11"/>
  <c r="U19" i="4" s="1"/>
  <c r="F24" i="11"/>
  <c r="Q19" i="4" s="1"/>
  <c r="C16" i="10" s="1"/>
  <c r="F20" i="11"/>
  <c r="M19" i="4" s="1"/>
  <c r="F49" i="11"/>
  <c r="AM19" i="4" s="1"/>
  <c r="F35" i="11"/>
  <c r="AA19" i="4" s="1"/>
  <c r="M16" i="10" s="1"/>
  <c r="F32" i="11"/>
  <c r="X19" i="4" s="1"/>
  <c r="J16" i="10" s="1"/>
  <c r="F28" i="11"/>
  <c r="T19" i="4" s="1"/>
  <c r="F23" i="11"/>
  <c r="P19" i="4" s="1"/>
  <c r="F19" i="11"/>
  <c r="L19" i="4" s="1"/>
  <c r="F31" i="11"/>
  <c r="W19" i="4" s="1"/>
  <c r="F22" i="11"/>
  <c r="O19" i="4" s="1"/>
  <c r="F38" i="11"/>
  <c r="AD19" i="4" s="1"/>
  <c r="P16" i="10" s="1"/>
  <c r="F27" i="11"/>
  <c r="S19" i="4" s="1"/>
  <c r="F37" i="11"/>
  <c r="AC19" i="4" s="1"/>
  <c r="F30" i="11"/>
  <c r="V19" i="4" s="1"/>
  <c r="F26" i="11"/>
  <c r="R19" i="4" s="1"/>
  <c r="F21" i="11"/>
  <c r="N19" i="4" s="1"/>
  <c r="F34" i="11"/>
  <c r="Z19" i="4" s="1"/>
  <c r="I17" i="10" l="1"/>
  <c r="F45" i="13"/>
  <c r="AJ23" i="4" s="1"/>
  <c r="F27" i="13"/>
  <c r="S23" i="4" s="1"/>
  <c r="F31" i="13"/>
  <c r="W23" i="4" s="1"/>
  <c r="F35" i="13"/>
  <c r="AA23" i="4" s="1"/>
  <c r="F28" i="13"/>
  <c r="T23" i="4" s="1"/>
  <c r="F32" i="13"/>
  <c r="X23" i="4" s="1"/>
  <c r="F36" i="13"/>
  <c r="AB23" i="4" s="1"/>
  <c r="F29" i="13"/>
  <c r="U23" i="4" s="1"/>
  <c r="F33" i="13"/>
  <c r="Y23" i="4" s="1"/>
  <c r="F37" i="13"/>
  <c r="AC23" i="4" s="1"/>
  <c r="F26" i="13"/>
  <c r="R23" i="4" s="1"/>
  <c r="F30" i="13"/>
  <c r="V23" i="4" s="1"/>
  <c r="F34" i="13"/>
  <c r="Z23" i="4" s="1"/>
  <c r="F38" i="13"/>
  <c r="AD23" i="4" s="1"/>
  <c r="O16" i="10"/>
  <c r="E17" i="10"/>
  <c r="L22" i="4"/>
  <c r="D17" i="10"/>
  <c r="Q17" i="10"/>
  <c r="AM22" i="4"/>
  <c r="L17" i="10"/>
  <c r="F17" i="10"/>
  <c r="N17" i="10"/>
  <c r="G17" i="10"/>
  <c r="H17" i="10"/>
  <c r="O17" i="10"/>
  <c r="K17" i="10"/>
  <c r="AE22" i="4"/>
  <c r="R22" i="4"/>
  <c r="I16" i="10"/>
  <c r="D16" i="10"/>
  <c r="L16" i="10"/>
  <c r="AM20" i="4"/>
  <c r="Q16" i="10"/>
  <c r="G16" i="10"/>
  <c r="L20" i="4"/>
  <c r="F16" i="10"/>
  <c r="N16" i="10"/>
  <c r="R20" i="4"/>
  <c r="E16" i="10"/>
  <c r="H16" i="10"/>
  <c r="K16" i="10"/>
  <c r="AE20" i="4"/>
  <c r="F44" i="13"/>
  <c r="AI23" i="4" s="1"/>
  <c r="F22" i="13"/>
  <c r="O23" i="4" s="1"/>
  <c r="F23" i="13"/>
  <c r="P23" i="4" s="1"/>
  <c r="F21" i="13"/>
  <c r="N23" i="4" s="1"/>
  <c r="F43" i="13"/>
  <c r="AH23" i="4" s="1"/>
  <c r="F49" i="13"/>
  <c r="AM23" i="4" s="1"/>
  <c r="F42" i="13"/>
  <c r="AG23" i="4" s="1"/>
  <c r="F47" i="13"/>
  <c r="AL23" i="4" s="1"/>
  <c r="F20" i="13"/>
  <c r="M23" i="4" s="1"/>
  <c r="F41" i="13"/>
  <c r="AF23" i="4" s="1"/>
  <c r="F46" i="13"/>
  <c r="AK23" i="4" s="1"/>
  <c r="F19" i="13"/>
  <c r="L23" i="4" s="1"/>
  <c r="F40" i="13"/>
  <c r="AE23" i="4" s="1"/>
  <c r="F24" i="13"/>
  <c r="Q23" i="4" s="1"/>
  <c r="F51" i="12"/>
  <c r="F51" i="11"/>
  <c r="L24" i="4" l="1"/>
  <c r="AM24" i="4"/>
  <c r="R24" i="4"/>
  <c r="AE24" i="4"/>
  <c r="AN22" i="4"/>
  <c r="R17" i="10"/>
  <c r="R16" i="10"/>
  <c r="AN20" i="4"/>
  <c r="F51" i="13"/>
  <c r="D51" i="8"/>
  <c r="D51" i="7"/>
  <c r="F37" i="7" s="1"/>
  <c r="AC15" i="4" s="1"/>
  <c r="AN24" i="4" l="1"/>
  <c r="D51" i="9"/>
  <c r="F34" i="9" s="1"/>
  <c r="Z11" i="4" s="1"/>
  <c r="F34" i="8"/>
  <c r="Z13" i="4" s="1"/>
  <c r="F31" i="8"/>
  <c r="W13" i="4" s="1"/>
  <c r="F35" i="8"/>
  <c r="AA13" i="4" s="1"/>
  <c r="M13" i="10" s="1"/>
  <c r="F47" i="8"/>
  <c r="AL13" i="4" s="1"/>
  <c r="F43" i="8"/>
  <c r="AH13" i="4" s="1"/>
  <c r="F38" i="8"/>
  <c r="AD13" i="4" s="1"/>
  <c r="P13" i="10" s="1"/>
  <c r="F26" i="8"/>
  <c r="R13" i="4" s="1"/>
  <c r="F21" i="8"/>
  <c r="N13" i="4" s="1"/>
  <c r="F46" i="8"/>
  <c r="AK13" i="4" s="1"/>
  <c r="F42" i="8"/>
  <c r="AG13" i="4" s="1"/>
  <c r="F37" i="8"/>
  <c r="AC13" i="4" s="1"/>
  <c r="F28" i="8"/>
  <c r="T13" i="4" s="1"/>
  <c r="F24" i="8"/>
  <c r="Q13" i="4" s="1"/>
  <c r="C13" i="10" s="1"/>
  <c r="F20" i="8"/>
  <c r="M13" i="4" s="1"/>
  <c r="F45" i="8"/>
  <c r="AJ13" i="4" s="1"/>
  <c r="F41" i="8"/>
  <c r="AF13" i="4" s="1"/>
  <c r="F36" i="8"/>
  <c r="AB13" i="4" s="1"/>
  <c r="F33" i="8"/>
  <c r="Y13" i="4" s="1"/>
  <c r="F30" i="8"/>
  <c r="V13" i="4" s="1"/>
  <c r="F23" i="8"/>
  <c r="P13" i="4" s="1"/>
  <c r="F19" i="8"/>
  <c r="L13" i="4" s="1"/>
  <c r="F49" i="8"/>
  <c r="AM13" i="4" s="1"/>
  <c r="F44" i="8"/>
  <c r="AI13" i="4" s="1"/>
  <c r="F40" i="8"/>
  <c r="AE13" i="4" s="1"/>
  <c r="F32" i="8"/>
  <c r="X13" i="4" s="1"/>
  <c r="J13" i="10" s="1"/>
  <c r="F29" i="8"/>
  <c r="U13" i="4" s="1"/>
  <c r="F22" i="8"/>
  <c r="O13" i="4" s="1"/>
  <c r="H13" i="10" s="1"/>
  <c r="F27" i="8"/>
  <c r="S13" i="4" s="1"/>
  <c r="E13" i="10" s="1"/>
  <c r="F41" i="7"/>
  <c r="AF15" i="4" s="1"/>
  <c r="F45" i="7"/>
  <c r="AJ15" i="4" s="1"/>
  <c r="F28" i="7"/>
  <c r="T15" i="4" s="1"/>
  <c r="F23" i="7"/>
  <c r="P15" i="4" s="1"/>
  <c r="F19" i="7"/>
  <c r="L15" i="4" s="1"/>
  <c r="F49" i="7"/>
  <c r="AM15" i="4" s="1"/>
  <c r="F44" i="7"/>
  <c r="AI15" i="4" s="1"/>
  <c r="F36" i="7"/>
  <c r="AB15" i="4" s="1"/>
  <c r="F33" i="7"/>
  <c r="Y15" i="4" s="1"/>
  <c r="F30" i="7"/>
  <c r="V15" i="4" s="1"/>
  <c r="F27" i="7"/>
  <c r="S15" i="4" s="1"/>
  <c r="F22" i="7"/>
  <c r="O15" i="4" s="1"/>
  <c r="F21" i="7"/>
  <c r="N15" i="4" s="1"/>
  <c r="F42" i="7"/>
  <c r="AG15" i="4" s="1"/>
  <c r="F38" i="7"/>
  <c r="AD15" i="4" s="1"/>
  <c r="P14" i="10" s="1"/>
  <c r="F31" i="7"/>
  <c r="W15" i="4" s="1"/>
  <c r="F20" i="7"/>
  <c r="M15" i="4" s="1"/>
  <c r="F47" i="7"/>
  <c r="AL15" i="4" s="1"/>
  <c r="F43" i="7"/>
  <c r="AH15" i="4" s="1"/>
  <c r="O14" i="10" s="1"/>
  <c r="F40" i="7"/>
  <c r="AE15" i="4" s="1"/>
  <c r="F35" i="7"/>
  <c r="AA15" i="4" s="1"/>
  <c r="M14" i="10" s="1"/>
  <c r="F32" i="7"/>
  <c r="X15" i="4" s="1"/>
  <c r="J14" i="10" s="1"/>
  <c r="F26" i="7"/>
  <c r="R15" i="4" s="1"/>
  <c r="F46" i="7"/>
  <c r="AK15" i="4" s="1"/>
  <c r="F34" i="7"/>
  <c r="Z15" i="4" s="1"/>
  <c r="L14" i="10" s="1"/>
  <c r="F24" i="7"/>
  <c r="Q15" i="4" s="1"/>
  <c r="C14" i="10" s="1"/>
  <c r="F29" i="7"/>
  <c r="U15" i="4" s="1"/>
  <c r="D51" i="6"/>
  <c r="D51" i="5"/>
  <c r="I13" i="10" l="1"/>
  <c r="E14" i="10"/>
  <c r="F47" i="6"/>
  <c r="AL9" i="4" s="1"/>
  <c r="F19" i="6"/>
  <c r="F14" i="10"/>
  <c r="G14" i="10"/>
  <c r="I14" i="10"/>
  <c r="H14" i="10"/>
  <c r="N14" i="10"/>
  <c r="L16" i="4"/>
  <c r="AE16" i="4"/>
  <c r="K14" i="10"/>
  <c r="R16" i="4"/>
  <c r="AM16" i="4"/>
  <c r="Q14" i="10"/>
  <c r="D14" i="10"/>
  <c r="F13" i="10"/>
  <c r="L13" i="10"/>
  <c r="AM14" i="4"/>
  <c r="Q13" i="10"/>
  <c r="N13" i="10"/>
  <c r="AE14" i="4"/>
  <c r="K13" i="10"/>
  <c r="D13" i="10"/>
  <c r="O13" i="10"/>
  <c r="R14" i="4"/>
  <c r="L14" i="4"/>
  <c r="G13" i="10"/>
  <c r="F49" i="5"/>
  <c r="AM7" i="4" s="1"/>
  <c r="F23" i="5"/>
  <c r="P7" i="4" s="1"/>
  <c r="F47" i="9"/>
  <c r="AL11" i="4" s="1"/>
  <c r="F44" i="9"/>
  <c r="AI11" i="4" s="1"/>
  <c r="F40" i="9"/>
  <c r="AE11" i="4" s="1"/>
  <c r="F35" i="9"/>
  <c r="AA11" i="4" s="1"/>
  <c r="M12" i="10" s="1"/>
  <c r="F32" i="9"/>
  <c r="X11" i="4" s="1"/>
  <c r="J12" i="10" s="1"/>
  <c r="F28" i="9"/>
  <c r="T11" i="4" s="1"/>
  <c r="F23" i="9"/>
  <c r="P11" i="4" s="1"/>
  <c r="F19" i="9"/>
  <c r="L11" i="4" s="1"/>
  <c r="F43" i="9"/>
  <c r="AH11" i="4" s="1"/>
  <c r="F38" i="9"/>
  <c r="AD11" i="4" s="1"/>
  <c r="P12" i="10" s="1"/>
  <c r="F31" i="9"/>
  <c r="W11" i="4" s="1"/>
  <c r="F27" i="9"/>
  <c r="S11" i="4" s="1"/>
  <c r="F22" i="9"/>
  <c r="O11" i="4" s="1"/>
  <c r="F42" i="9"/>
  <c r="AG11" i="4" s="1"/>
  <c r="F37" i="9"/>
  <c r="AC11" i="4" s="1"/>
  <c r="F30" i="9"/>
  <c r="V11" i="4" s="1"/>
  <c r="F26" i="9"/>
  <c r="R11" i="4" s="1"/>
  <c r="F21" i="9"/>
  <c r="N11" i="4" s="1"/>
  <c r="F49" i="9"/>
  <c r="AM11" i="4" s="1"/>
  <c r="F45" i="9"/>
  <c r="AJ11" i="4" s="1"/>
  <c r="F41" i="9"/>
  <c r="AF11" i="4" s="1"/>
  <c r="L12" i="10" s="1"/>
  <c r="F36" i="9"/>
  <c r="AB11" i="4" s="1"/>
  <c r="N12" i="10" s="1"/>
  <c r="F33" i="9"/>
  <c r="Y11" i="4" s="1"/>
  <c r="F29" i="9"/>
  <c r="U11" i="4" s="1"/>
  <c r="F24" i="9"/>
  <c r="Q11" i="4" s="1"/>
  <c r="C12" i="10" s="1"/>
  <c r="F20" i="9"/>
  <c r="M11" i="4" s="1"/>
  <c r="F46" i="9"/>
  <c r="AK11" i="4" s="1"/>
  <c r="F51" i="8"/>
  <c r="F51" i="7"/>
  <c r="F30" i="6"/>
  <c r="V9" i="4" s="1"/>
  <c r="F42" i="6"/>
  <c r="AG9" i="4" s="1"/>
  <c r="F24" i="6"/>
  <c r="Q9" i="4" s="1"/>
  <c r="C11" i="10" s="1"/>
  <c r="F36" i="6"/>
  <c r="AB9" i="4" s="1"/>
  <c r="L9" i="4"/>
  <c r="F35" i="6"/>
  <c r="AA9" i="4" s="1"/>
  <c r="M11" i="10" s="1"/>
  <c r="F20" i="6"/>
  <c r="M9" i="4" s="1"/>
  <c r="F49" i="6"/>
  <c r="AM9" i="4" s="1"/>
  <c r="F22" i="6"/>
  <c r="O9" i="4" s="1"/>
  <c r="H11" i="10" s="1"/>
  <c r="F43" i="6"/>
  <c r="AH9" i="4" s="1"/>
  <c r="F26" i="6"/>
  <c r="R9" i="4" s="1"/>
  <c r="F37" i="6"/>
  <c r="AC9" i="4" s="1"/>
  <c r="F32" i="6"/>
  <c r="X9" i="4" s="1"/>
  <c r="J11" i="10" s="1"/>
  <c r="F38" i="6"/>
  <c r="AD9" i="4" s="1"/>
  <c r="P11" i="10" s="1"/>
  <c r="F21" i="6"/>
  <c r="N9" i="4" s="1"/>
  <c r="F33" i="6"/>
  <c r="Y9" i="4" s="1"/>
  <c r="F45" i="6"/>
  <c r="AJ9" i="4" s="1"/>
  <c r="F28" i="6"/>
  <c r="T9" i="4" s="1"/>
  <c r="F44" i="6"/>
  <c r="AI9" i="4" s="1"/>
  <c r="F31" i="6"/>
  <c r="W9" i="4" s="1"/>
  <c r="F34" i="6"/>
  <c r="Z9" i="4" s="1"/>
  <c r="F46" i="6"/>
  <c r="AK9" i="4" s="1"/>
  <c r="F29" i="6"/>
  <c r="U9" i="4" s="1"/>
  <c r="F41" i="6"/>
  <c r="AF9" i="4" s="1"/>
  <c r="F23" i="6"/>
  <c r="P9" i="4" s="1"/>
  <c r="F40" i="6"/>
  <c r="AE9" i="4" s="1"/>
  <c r="F27" i="6"/>
  <c r="S9" i="4" s="1"/>
  <c r="E11" i="10" s="1"/>
  <c r="F28" i="5"/>
  <c r="T7" i="4" s="1"/>
  <c r="F19" i="5"/>
  <c r="L7" i="4" s="1"/>
  <c r="F32" i="5"/>
  <c r="X7" i="4" s="1"/>
  <c r="F38" i="5"/>
  <c r="AD7" i="4" s="1"/>
  <c r="F20" i="5"/>
  <c r="M7" i="4" s="1"/>
  <c r="F24" i="5"/>
  <c r="Q7" i="4" s="1"/>
  <c r="F29" i="5"/>
  <c r="U7" i="4" s="1"/>
  <c r="F33" i="5"/>
  <c r="Y7" i="4" s="1"/>
  <c r="F41" i="5"/>
  <c r="AF7" i="4" s="1"/>
  <c r="F21" i="5"/>
  <c r="N7" i="4" s="1"/>
  <c r="F26" i="5"/>
  <c r="R7" i="4" s="1"/>
  <c r="F30" i="5"/>
  <c r="V7" i="4" s="1"/>
  <c r="F34" i="5"/>
  <c r="Z7" i="4" s="1"/>
  <c r="F43" i="5"/>
  <c r="AH7" i="4" s="1"/>
  <c r="F22" i="5"/>
  <c r="O7" i="4" s="1"/>
  <c r="F27" i="5"/>
  <c r="S7" i="4" s="1"/>
  <c r="F31" i="5"/>
  <c r="W7" i="4" s="1"/>
  <c r="F37" i="5"/>
  <c r="AC7" i="4" s="1"/>
  <c r="F45" i="5"/>
  <c r="AJ7" i="4" s="1"/>
  <c r="F46" i="5"/>
  <c r="AK7" i="4" s="1"/>
  <c r="F36" i="5"/>
  <c r="AB7" i="4" s="1"/>
  <c r="F42" i="5"/>
  <c r="AG7" i="4" s="1"/>
  <c r="F47" i="5"/>
  <c r="AL7" i="4" s="1"/>
  <c r="F35" i="5"/>
  <c r="AA7" i="4" s="1"/>
  <c r="F40" i="5"/>
  <c r="AE7" i="4" s="1"/>
  <c r="F44" i="5"/>
  <c r="AI7" i="4" s="1"/>
  <c r="F12" i="10" l="1"/>
  <c r="R14" i="10"/>
  <c r="AN16" i="4"/>
  <c r="R13" i="10"/>
  <c r="AN14" i="4"/>
  <c r="E12" i="10"/>
  <c r="D12" i="10"/>
  <c r="O12" i="10"/>
  <c r="L12" i="4"/>
  <c r="AM12" i="4"/>
  <c r="Q12" i="10"/>
  <c r="K12" i="10"/>
  <c r="AE12" i="4"/>
  <c r="R12" i="4"/>
  <c r="H12" i="10"/>
  <c r="I12" i="10"/>
  <c r="G12" i="10"/>
  <c r="I11" i="10"/>
  <c r="O11" i="10"/>
  <c r="N11" i="10"/>
  <c r="F11" i="10"/>
  <c r="K11" i="10"/>
  <c r="L11" i="10"/>
  <c r="D11" i="10"/>
  <c r="L10" i="4"/>
  <c r="G11" i="10"/>
  <c r="R10" i="4"/>
  <c r="AM10" i="4"/>
  <c r="Q11" i="10"/>
  <c r="AE10" i="4"/>
  <c r="N10" i="10"/>
  <c r="M10" i="10"/>
  <c r="E10" i="10"/>
  <c r="K10" i="10"/>
  <c r="D10" i="10"/>
  <c r="H10" i="10"/>
  <c r="R8" i="4"/>
  <c r="J10" i="10"/>
  <c r="O10" i="10"/>
  <c r="G10" i="10"/>
  <c r="C10" i="10"/>
  <c r="L8" i="4"/>
  <c r="AE8" i="4"/>
  <c r="I10" i="10"/>
  <c r="L10" i="10"/>
  <c r="F10" i="10"/>
  <c r="P10" i="10"/>
  <c r="AM8" i="4"/>
  <c r="Q10" i="10"/>
  <c r="F51" i="9"/>
  <c r="F51" i="6"/>
  <c r="F51" i="5"/>
  <c r="R12" i="10" l="1"/>
  <c r="AN12" i="4"/>
  <c r="R11" i="10"/>
  <c r="AN10" i="4"/>
  <c r="R10" i="10"/>
  <c r="AN8" i="4"/>
  <c r="D51" i="3"/>
  <c r="F46" i="3" s="1"/>
  <c r="AK17" i="4" s="1"/>
  <c r="AK25" i="4" s="1"/>
  <c r="F21" i="3" l="1"/>
  <c r="N17" i="4" s="1"/>
  <c r="F27" i="3"/>
  <c r="S17" i="4" s="1"/>
  <c r="F32" i="3"/>
  <c r="X17" i="4" s="1"/>
  <c r="F38" i="3"/>
  <c r="AD17" i="4" s="1"/>
  <c r="F44" i="3"/>
  <c r="AI17" i="4" s="1"/>
  <c r="AI25" i="4" s="1"/>
  <c r="F22" i="3"/>
  <c r="O17" i="4" s="1"/>
  <c r="F28" i="3"/>
  <c r="T17" i="4" s="1"/>
  <c r="T25" i="4" s="1"/>
  <c r="F34" i="3"/>
  <c r="Z17" i="4" s="1"/>
  <c r="F40" i="3"/>
  <c r="AE17" i="4" s="1"/>
  <c r="F45" i="3"/>
  <c r="AJ17" i="4" s="1"/>
  <c r="F23" i="3"/>
  <c r="P17" i="4" s="1"/>
  <c r="F30" i="3"/>
  <c r="V17" i="4" s="1"/>
  <c r="V25" i="4" s="1"/>
  <c r="F35" i="3"/>
  <c r="AA17" i="4" s="1"/>
  <c r="F41" i="3"/>
  <c r="AF17" i="4" s="1"/>
  <c r="AF25" i="4" s="1"/>
  <c r="F47" i="3"/>
  <c r="AL17" i="4" s="1"/>
  <c r="AL25" i="4" s="1"/>
  <c r="F19" i="3"/>
  <c r="L17" i="4" s="1"/>
  <c r="F26" i="3"/>
  <c r="R17" i="4" s="1"/>
  <c r="F31" i="3"/>
  <c r="W17" i="4" s="1"/>
  <c r="F36" i="3"/>
  <c r="AB17" i="4" s="1"/>
  <c r="F43" i="3"/>
  <c r="AH17" i="4" s="1"/>
  <c r="AH25" i="4" s="1"/>
  <c r="F49" i="3"/>
  <c r="AM17" i="4" s="1"/>
  <c r="F20" i="3"/>
  <c r="M17" i="4" s="1"/>
  <c r="F24" i="3"/>
  <c r="Q17" i="4" s="1"/>
  <c r="F29" i="3"/>
  <c r="U17" i="4" s="1"/>
  <c r="U25" i="4" s="1"/>
  <c r="F33" i="3"/>
  <c r="Y17" i="4" s="1"/>
  <c r="Y25" i="4" s="1"/>
  <c r="F37" i="3"/>
  <c r="AC17" i="4" s="1"/>
  <c r="F42" i="3"/>
  <c r="AG17" i="4" s="1"/>
  <c r="AG25" i="4" s="1"/>
  <c r="O15" i="10" l="1"/>
  <c r="AC25" i="4"/>
  <c r="F15" i="10"/>
  <c r="M25" i="4"/>
  <c r="I15" i="10"/>
  <c r="W25" i="4"/>
  <c r="D15" i="10"/>
  <c r="AJ25" i="4"/>
  <c r="R18" i="4"/>
  <c r="R25" i="4"/>
  <c r="M15" i="10"/>
  <c r="AA25" i="4"/>
  <c r="L15" i="10"/>
  <c r="Z25" i="4"/>
  <c r="P15" i="10"/>
  <c r="AD25" i="4"/>
  <c r="C15" i="10"/>
  <c r="Q25" i="4"/>
  <c r="N15" i="10"/>
  <c r="AB25" i="4"/>
  <c r="K15" i="10"/>
  <c r="P25" i="4"/>
  <c r="J15" i="10"/>
  <c r="X25" i="4"/>
  <c r="H15" i="10"/>
  <c r="O25" i="4"/>
  <c r="E15" i="10"/>
  <c r="S25" i="4"/>
  <c r="Q15" i="10"/>
  <c r="AM18" i="4"/>
  <c r="AM25" i="4"/>
  <c r="AE18" i="4"/>
  <c r="AE25" i="4"/>
  <c r="G15" i="10"/>
  <c r="N25" i="4"/>
  <c r="L18" i="4"/>
  <c r="L25" i="4"/>
  <c r="F51" i="3"/>
  <c r="E18" i="10" l="1"/>
  <c r="Q18" i="10"/>
  <c r="C18" i="10"/>
  <c r="H18" i="10"/>
  <c r="K18" i="10"/>
  <c r="J18" i="10"/>
  <c r="N18" i="10"/>
  <c r="P18" i="10"/>
  <c r="M18" i="10"/>
  <c r="D18" i="10"/>
  <c r="F18" i="10"/>
  <c r="G18" i="10"/>
  <c r="L18" i="10"/>
  <c r="I18" i="10"/>
  <c r="O18" i="10"/>
  <c r="AN25" i="4"/>
  <c r="AN18" i="4"/>
  <c r="R15" i="10"/>
  <c r="D51" i="1"/>
  <c r="F32" i="1" s="1"/>
  <c r="R18" i="10" l="1"/>
  <c r="F31" i="1"/>
  <c r="F45" i="1"/>
  <c r="F46" i="1"/>
  <c r="F27" i="1"/>
  <c r="F24" i="1"/>
  <c r="F23" i="1"/>
  <c r="F22" i="1"/>
  <c r="F21" i="1"/>
  <c r="F20" i="1"/>
  <c r="F49" i="1"/>
  <c r="F47" i="1"/>
  <c r="F44" i="1"/>
  <c r="F43" i="1"/>
  <c r="F42" i="1"/>
  <c r="F41" i="1"/>
  <c r="F40" i="1"/>
  <c r="F26" i="1"/>
  <c r="F19" i="1"/>
  <c r="F34" i="1" l="1"/>
  <c r="F28" i="1"/>
  <c r="F35" i="1"/>
  <c r="F29" i="1"/>
  <c r="F37" i="1"/>
  <c r="F33" i="1"/>
  <c r="F38" i="1"/>
  <c r="F30" i="1"/>
  <c r="F36" i="1"/>
  <c r="F51" i="1" l="1"/>
</calcChain>
</file>

<file path=xl/sharedStrings.xml><?xml version="1.0" encoding="utf-8"?>
<sst xmlns="http://schemas.openxmlformats.org/spreadsheetml/2006/main" count="711" uniqueCount="151">
  <si>
    <t>x</t>
  </si>
  <si>
    <t>Rapport de Prelevement
OM CAD</t>
  </si>
  <si>
    <t>Système de Management</t>
  </si>
  <si>
    <t>INFORMATIONS GENERALES</t>
  </si>
  <si>
    <t>Colectivité</t>
  </si>
  <si>
    <t>CAD</t>
  </si>
  <si>
    <t>Type de flux</t>
  </si>
  <si>
    <t>Heure</t>
  </si>
  <si>
    <t>Tournée</t>
  </si>
  <si>
    <t>Date réception et Poids receptionné</t>
  </si>
  <si>
    <t>TRI DU PRELEVEMENT</t>
  </si>
  <si>
    <t>Opérateur/Nbre Trieurs</t>
  </si>
  <si>
    <t>Date et Heure</t>
  </si>
  <si>
    <t>RESULTAT</t>
  </si>
  <si>
    <t>Produits</t>
  </si>
  <si>
    <t>Poids</t>
  </si>
  <si>
    <t>Pourcentage</t>
  </si>
  <si>
    <t>Fractions &gt;200mm</t>
  </si>
  <si>
    <t>Gros Inertes (Cailloux)</t>
  </si>
  <si>
    <t>Films plastiques</t>
  </si>
  <si>
    <t>Plastiques rigides</t>
  </si>
  <si>
    <t>Bois</t>
  </si>
  <si>
    <t>Grosse fractions métalliques</t>
  </si>
  <si>
    <t>Fractions &gt; 70mm</t>
  </si>
  <si>
    <t>Inertes</t>
  </si>
  <si>
    <t>Petits films</t>
  </si>
  <si>
    <t>Autres plastiques rigides</t>
  </si>
  <si>
    <t>Fractions métaliques</t>
  </si>
  <si>
    <t>Dechets Alimentaires</t>
  </si>
  <si>
    <t>Produits alimentaires non consommés</t>
  </si>
  <si>
    <t>Déchets de jardin</t>
  </si>
  <si>
    <t>Fractions &lt; 70mm</t>
  </si>
  <si>
    <t>Fractions métallique (Ferreux, non ferreux)</t>
  </si>
  <si>
    <t>Fractions &lt; 20mm</t>
  </si>
  <si>
    <t>Total</t>
  </si>
  <si>
    <t>Observations</t>
  </si>
  <si>
    <t>OM</t>
  </si>
  <si>
    <t>EMR</t>
  </si>
  <si>
    <t>Textiles</t>
  </si>
  <si>
    <t>Fibreux</t>
  </si>
  <si>
    <t>Textiles Sanitaires</t>
  </si>
  <si>
    <t>Refus</t>
  </si>
  <si>
    <t>Fines Inferieur à 0,20</t>
  </si>
  <si>
    <t>Verre</t>
  </si>
  <si>
    <t>Plastiques</t>
  </si>
  <si>
    <t>Date de Réception</t>
  </si>
  <si>
    <t>N° de Pesée</t>
  </si>
  <si>
    <t>Poids Réceptionné</t>
  </si>
  <si>
    <t>Circuit</t>
  </si>
  <si>
    <t>Opérateur</t>
  </si>
  <si>
    <t>Date de l'échantillonage</t>
  </si>
  <si>
    <t>Nombre de Trieurs</t>
  </si>
  <si>
    <t>Gros Inerte</t>
  </si>
  <si>
    <t>Films Plastiques</t>
  </si>
  <si>
    <t>Plastiques Rigides</t>
  </si>
  <si>
    <t>Grosses fractions métaliques</t>
  </si>
  <si>
    <t>Fraction &gt; 200mm</t>
  </si>
  <si>
    <t>Petits Films</t>
  </si>
  <si>
    <t>Autres palstiques rigides</t>
  </si>
  <si>
    <t>Fraction Métaliques</t>
  </si>
  <si>
    <t>Déchets alimentaires</t>
  </si>
  <si>
    <t>Produits alimentaires Non Consommés</t>
  </si>
  <si>
    <t>Déchets de Jardins</t>
  </si>
  <si>
    <t>Textiles Sanitaire</t>
  </si>
  <si>
    <t xml:space="preserve">Fractions métaliques </t>
  </si>
  <si>
    <t>Fines Inferieurs à 0,20</t>
  </si>
  <si>
    <t>Fraction &lt;20mm</t>
  </si>
  <si>
    <t>Draguignan</t>
  </si>
  <si>
    <t>TOTAL</t>
  </si>
  <si>
    <t xml:space="preserve">Details refus </t>
  </si>
  <si>
    <t>Lorgues</t>
  </si>
  <si>
    <t>Lorgues Ext</t>
  </si>
  <si>
    <t>Collectivités</t>
  </si>
  <si>
    <t>Ext</t>
  </si>
  <si>
    <t>Vidauban</t>
  </si>
  <si>
    <t>Fraction &gt; 70mm</t>
  </si>
  <si>
    <t>Fraction &lt; 70mm</t>
  </si>
  <si>
    <t>Plaque Immatriculation</t>
  </si>
  <si>
    <t xml:space="preserve"> Films</t>
  </si>
  <si>
    <t>Trans en Provence Ext</t>
  </si>
  <si>
    <t>Salernes</t>
  </si>
  <si>
    <t>Rouge A1</t>
  </si>
  <si>
    <t>Les Arcs</t>
  </si>
  <si>
    <t>TOTAL en %</t>
  </si>
  <si>
    <t>TOTAL CAD</t>
  </si>
  <si>
    <t>Fines Inferieurs 
à 0,20</t>
  </si>
  <si>
    <t>TABLEAU CARACTERISATIONS
OM de la CAD</t>
  </si>
  <si>
    <t>SYSTÈME DE MANAGEMENT
INTEGRE</t>
  </si>
  <si>
    <t>TABLEAU DE SYNTHESE DES
CARACTERISATION OM de la CAD</t>
  </si>
  <si>
    <t>Fraction Métalique</t>
  </si>
  <si>
    <t>Textile</t>
  </si>
  <si>
    <t>Claudine</t>
  </si>
  <si>
    <t>BV129RS</t>
  </si>
  <si>
    <t>AR760CV</t>
  </si>
  <si>
    <t>CP730KZ</t>
  </si>
  <si>
    <t>CH714TJ</t>
  </si>
  <si>
    <t>CK397RT</t>
  </si>
  <si>
    <t>09h06</t>
  </si>
  <si>
    <t>Les Arcs sur Argens     ext</t>
  </si>
  <si>
    <t>Manon</t>
  </si>
  <si>
    <t>05h30</t>
  </si>
  <si>
    <t>Beaucoup d'asticots, beaucoup de petiti pots de peinture pour voiture, 1 aspirateur, câble elctrique, polystirène</t>
  </si>
  <si>
    <t>Claudine/Manon</t>
  </si>
  <si>
    <t>Asticots, aspiratuer, nourritures, ENV</t>
  </si>
  <si>
    <t>Les Arcs sur Argens</t>
  </si>
  <si>
    <t>09h13</t>
  </si>
  <si>
    <t>Draguignan Bleu A1</t>
  </si>
  <si>
    <t>09h30</t>
  </si>
  <si>
    <t>Bleu A1</t>
  </si>
  <si>
    <t>Asticots, cartouches imprimantes, ENV, Tuyau PVC, miroir, sac de platre 1/2 plein beaucoup de petits morceaux de verre</t>
  </si>
  <si>
    <t>Asticots, petits morceau de verre, tuyau, cartouches</t>
  </si>
  <si>
    <t xml:space="preserve">Trans en Provence </t>
  </si>
  <si>
    <t>Tran en Provence</t>
  </si>
  <si>
    <t>09h41</t>
  </si>
  <si>
    <t>DX172JM</t>
  </si>
  <si>
    <t>Litières, chaussures, DEE, siège ne mousse, lit enfant..</t>
  </si>
  <si>
    <t>08h20</t>
  </si>
  <si>
    <t>Sacs avec litières, chaussures, DEE, siège ne mousse pour enfant, lit enfant en tissus sacs de nourriutres pour annimaux pleins, peau de mouton</t>
  </si>
  <si>
    <t>Vert/Rouge</t>
  </si>
  <si>
    <t>10h36</t>
  </si>
  <si>
    <t>Litières, cables electriques, DEE, peluches</t>
  </si>
  <si>
    <t>Draguignan Vert/Rouge</t>
  </si>
  <si>
    <t>5h30</t>
  </si>
  <si>
    <t>Sacs avec litières, cables electriques, sacs de platres, DEE, peluches</t>
  </si>
  <si>
    <t>09h05</t>
  </si>
  <si>
    <t>Salernes Ext</t>
  </si>
  <si>
    <t>15 blocs de glaces pour glacières, sacs avec litière, oreillers, mousse pour garniture de couette, 1 pendule,
 DEE, tubes de mastic plein, 2 seringues, chaussures</t>
  </si>
  <si>
    <t>BV745RS</t>
  </si>
  <si>
    <t>DEE, blocs pour glacière, seringues, textiles</t>
  </si>
  <si>
    <t>09h39</t>
  </si>
  <si>
    <t>Sacs pleins de gravillons, excrement d'annimaux…</t>
  </si>
  <si>
    <t>1 sac plein de gravillon, sac avec excrements d'annimaux, chaussures, DEE, matelas pour chaises longues peluches, seringues</t>
  </si>
  <si>
    <t>Flayosc</t>
  </si>
  <si>
    <t>11h17</t>
  </si>
  <si>
    <t>Sacs avec litières, 1 bateau gonflable, chaussures, polystirènes</t>
  </si>
  <si>
    <t>11h01</t>
  </si>
  <si>
    <t>Sacs avec litières, chaussures…</t>
  </si>
  <si>
    <t>Draguignan Rouge A1</t>
  </si>
  <si>
    <t>11h36</t>
  </si>
  <si>
    <t>10h00</t>
  </si>
  <si>
    <t>Sacs litières lapin et chats, DEEE, tuyaux PVC, sacs cabas, chaussures</t>
  </si>
  <si>
    <t>11h22</t>
  </si>
  <si>
    <t>BZ349ZV</t>
  </si>
  <si>
    <t>DEE, tuyaux, sacs gabats…</t>
  </si>
  <si>
    <t xml:space="preserve">Draguignan </t>
  </si>
  <si>
    <t xml:space="preserve">Vidauban </t>
  </si>
  <si>
    <t>10h35</t>
  </si>
  <si>
    <t>3 big bag, sacs de litières, sacs à mains, chaussures..</t>
  </si>
  <si>
    <t>Vidauban Ext</t>
  </si>
  <si>
    <t>06h00</t>
  </si>
  <si>
    <t>3 big bag, sacs de litères, chaussures, sacs à mains gants plastiques, jouets enfants.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</si>
</sst>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&quot; Kg&quot;"/>
    <numFmt numFmtId="165" formatCode="h:mm;@"/>
    <numFmt numFmtId="166" formatCode="0.000"/>
  </numFmts>
  <fonts count="17" x14ac:knownFonts="1">
    <font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9"/>
      <color theme="0"/>
      <name val="Comic Sans MS"/>
      <family val="4"/>
    </font>
    <font>
      <b/>
      <sz val="9"/>
      <name val="Comic Sans MS"/>
      <family val="4"/>
    </font>
    <font>
      <b/>
      <sz val="10"/>
      <color theme="0"/>
      <name val="Arial"/>
      <family val="2"/>
    </font>
    <font>
      <b/>
      <sz val="28"/>
      <name val="Arial"/>
      <family val="2"/>
    </font>
    <font>
      <b/>
      <sz val="16"/>
      <name val="Arial"/>
      <family val="2"/>
    </font>
    <font>
      <b/>
      <sz val="10"/>
      <color indexed="2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99FF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8">
    <xf numFmtId="0" fontId="0" fillId="0" borderId="0" xfId="0"/>
    <xf numFmtId="0" fontId="2" fillId="0" borderId="12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 wrapText="1"/>
    </xf>
    <xf numFmtId="0" fontId="0" fillId="0" borderId="21" xfId="0" applyFill="1" applyBorder="1" applyAlignment="1" applyProtection="1">
      <alignment horizontal="center" vertical="center"/>
    </xf>
    <xf numFmtId="0" fontId="0" fillId="0" borderId="0" xfId="0" applyFill="1"/>
    <xf numFmtId="10" fontId="1" fillId="0" borderId="23" xfId="1" applyNumberFormat="1" applyFont="1" applyFill="1" applyBorder="1" applyAlignment="1" applyProtection="1">
      <alignment horizontal="center" vertical="center"/>
    </xf>
    <xf numFmtId="0" fontId="0" fillId="0" borderId="0" xfId="0" applyBorder="1"/>
    <xf numFmtId="0" fontId="0" fillId="0" borderId="23" xfId="0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7" borderId="17" xfId="0" applyFont="1" applyFill="1" applyBorder="1" applyAlignment="1" applyProtection="1">
      <alignment horizontal="center" vertical="center"/>
    </xf>
    <xf numFmtId="14" fontId="0" fillId="0" borderId="21" xfId="0" applyNumberFormat="1" applyFill="1" applyBorder="1" applyAlignment="1" applyProtection="1">
      <alignment horizontal="center" vertical="center"/>
    </xf>
    <xf numFmtId="10" fontId="1" fillId="0" borderId="18" xfId="1" applyNumberFormat="1" applyFont="1" applyFill="1" applyBorder="1" applyAlignment="1" applyProtection="1">
      <alignment horizontal="center" vertical="center"/>
    </xf>
    <xf numFmtId="10" fontId="1" fillId="0" borderId="21" xfId="1" applyNumberFormat="1" applyFont="1" applyFill="1" applyBorder="1" applyAlignment="1" applyProtection="1">
      <alignment horizontal="center" vertical="center"/>
    </xf>
    <xf numFmtId="10" fontId="4" fillId="0" borderId="15" xfId="1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8" fillId="5" borderId="29" xfId="0" applyFont="1" applyFill="1" applyBorder="1" applyAlignment="1" applyProtection="1">
      <alignment vertical="center"/>
    </xf>
    <xf numFmtId="10" fontId="1" fillId="0" borderId="32" xfId="1" applyNumberFormat="1" applyFont="1" applyFill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0" fillId="0" borderId="23" xfId="0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0" fillId="0" borderId="0" xfId="0" applyAlignment="1"/>
    <xf numFmtId="0" fontId="4" fillId="0" borderId="17" xfId="0" applyFont="1" applyBorder="1" applyAlignment="1">
      <alignment horizontal="center" vertical="center"/>
    </xf>
    <xf numFmtId="0" fontId="4" fillId="0" borderId="16" xfId="0" applyFont="1" applyFill="1" applyBorder="1" applyAlignment="1" applyProtection="1">
      <alignment horizontal="center" vertical="center"/>
    </xf>
    <xf numFmtId="0" fontId="4" fillId="7" borderId="16" xfId="0" applyFont="1" applyFill="1" applyBorder="1" applyAlignment="1" applyProtection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1" fillId="5" borderId="25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165" fontId="11" fillId="5" borderId="24" xfId="0" applyNumberFormat="1" applyFont="1" applyFill="1" applyBorder="1" applyAlignment="1">
      <alignment horizontal="center" vertical="center" wrapText="1"/>
    </xf>
    <xf numFmtId="0" fontId="8" fillId="3" borderId="15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0" fillId="0" borderId="42" xfId="0" applyBorder="1" applyAlignment="1">
      <alignment vertical="center"/>
    </xf>
    <xf numFmtId="0" fontId="11" fillId="5" borderId="33" xfId="0" applyFont="1" applyFill="1" applyBorder="1" applyAlignment="1">
      <alignment horizontal="center" vertical="center" wrapText="1"/>
    </xf>
    <xf numFmtId="0" fontId="11" fillId="5" borderId="34" xfId="0" applyFont="1" applyFill="1" applyBorder="1" applyAlignment="1">
      <alignment horizontal="center" vertical="center" wrapText="1"/>
    </xf>
    <xf numFmtId="0" fontId="0" fillId="0" borderId="0" xfId="0" applyFill="1" applyBorder="1"/>
    <xf numFmtId="10" fontId="0" fillId="0" borderId="17" xfId="0" applyNumberFormat="1" applyFill="1" applyBorder="1" applyAlignment="1">
      <alignment horizontal="center" vertical="center"/>
    </xf>
    <xf numFmtId="10" fontId="0" fillId="0" borderId="0" xfId="0" applyNumberFormat="1"/>
    <xf numFmtId="0" fontId="13" fillId="5" borderId="17" xfId="0" applyFont="1" applyFill="1" applyBorder="1" applyAlignment="1">
      <alignment horizontal="left" vertical="center"/>
    </xf>
    <xf numFmtId="10" fontId="0" fillId="0" borderId="4" xfId="0" applyNumberForma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0" fontId="0" fillId="0" borderId="54" xfId="0" applyNumberFormat="1" applyFill="1" applyBorder="1" applyAlignment="1">
      <alignment horizontal="center" vertical="center"/>
    </xf>
    <xf numFmtId="10" fontId="0" fillId="0" borderId="25" xfId="0" applyNumberFormat="1" applyFill="1" applyBorder="1" applyAlignment="1">
      <alignment horizontal="center" vertical="center"/>
    </xf>
    <xf numFmtId="10" fontId="0" fillId="0" borderId="24" xfId="0" applyNumberFormat="1" applyFill="1" applyBorder="1" applyAlignment="1">
      <alignment horizontal="center" vertical="center"/>
    </xf>
    <xf numFmtId="10" fontId="0" fillId="0" borderId="23" xfId="0" applyNumberFormat="1" applyFill="1" applyBorder="1" applyAlignment="1">
      <alignment horizontal="center" vertical="center"/>
    </xf>
    <xf numFmtId="10" fontId="0" fillId="0" borderId="16" xfId="0" applyNumberFormat="1" applyFill="1" applyBorder="1" applyAlignment="1">
      <alignment horizontal="center" vertical="center"/>
    </xf>
    <xf numFmtId="10" fontId="0" fillId="0" borderId="18" xfId="0" applyNumberFormat="1" applyFill="1" applyBorder="1" applyAlignment="1">
      <alignment horizontal="center" vertical="center"/>
    </xf>
    <xf numFmtId="10" fontId="0" fillId="8" borderId="13" xfId="0" applyNumberFormat="1" applyFill="1" applyBorder="1" applyAlignment="1">
      <alignment horizontal="center" vertical="center"/>
    </xf>
    <xf numFmtId="10" fontId="0" fillId="8" borderId="14" xfId="0" applyNumberFormat="1" applyFill="1" applyBorder="1" applyAlignment="1">
      <alignment horizontal="center" vertical="center"/>
    </xf>
    <xf numFmtId="10" fontId="0" fillId="8" borderId="41" xfId="0" applyNumberFormat="1" applyFill="1" applyBorder="1" applyAlignment="1">
      <alignment horizontal="center" vertical="center"/>
    </xf>
    <xf numFmtId="0" fontId="13" fillId="5" borderId="42" xfId="0" applyFon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10" fontId="0" fillId="0" borderId="53" xfId="0" applyNumberFormat="1" applyFill="1" applyBorder="1" applyAlignment="1">
      <alignment horizontal="center" vertical="center"/>
    </xf>
    <xf numFmtId="10" fontId="0" fillId="0" borderId="44" xfId="0" applyNumberFormat="1" applyFill="1" applyBorder="1" applyAlignment="1">
      <alignment horizontal="center" vertical="center"/>
    </xf>
    <xf numFmtId="10" fontId="0" fillId="0" borderId="48" xfId="0" applyNumberFormat="1" applyFill="1" applyBorder="1" applyAlignment="1">
      <alignment horizontal="center" vertical="center"/>
    </xf>
    <xf numFmtId="10" fontId="0" fillId="0" borderId="52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10" fontId="0" fillId="0" borderId="49" xfId="0" applyNumberFormat="1" applyFill="1" applyBorder="1" applyAlignment="1">
      <alignment horizontal="center" vertical="center"/>
    </xf>
    <xf numFmtId="10" fontId="0" fillId="2" borderId="8" xfId="0" applyNumberFormat="1" applyFill="1" applyBorder="1" applyAlignment="1">
      <alignment horizontal="center" vertical="center"/>
    </xf>
    <xf numFmtId="0" fontId="5" fillId="2" borderId="41" xfId="0" applyFont="1" applyFill="1" applyBorder="1" applyAlignment="1">
      <alignment vertical="center" wrapText="1"/>
    </xf>
    <xf numFmtId="0" fontId="12" fillId="9" borderId="33" xfId="0" applyFont="1" applyFill="1" applyBorder="1" applyAlignment="1">
      <alignment horizontal="center" vertical="center" wrapText="1"/>
    </xf>
    <xf numFmtId="0" fontId="11" fillId="5" borderId="58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 wrapText="1"/>
    </xf>
    <xf numFmtId="0" fontId="13" fillId="5" borderId="31" xfId="0" applyFont="1" applyFill="1" applyBorder="1" applyAlignment="1">
      <alignment horizontal="center" vertical="center" wrapText="1"/>
    </xf>
    <xf numFmtId="0" fontId="16" fillId="9" borderId="31" xfId="0" applyFont="1" applyFill="1" applyBorder="1" applyAlignment="1">
      <alignment horizontal="center" vertical="center" wrapText="1"/>
    </xf>
    <xf numFmtId="0" fontId="4" fillId="9" borderId="31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left" vertical="center"/>
    </xf>
    <xf numFmtId="0" fontId="4" fillId="11" borderId="16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/>
    </xf>
    <xf numFmtId="0" fontId="4" fillId="12" borderId="16" xfId="0" applyFont="1" applyFill="1" applyBorder="1" applyAlignment="1">
      <alignment horizontal="left" vertical="center"/>
    </xf>
    <xf numFmtId="166" fontId="0" fillId="0" borderId="17" xfId="0" applyNumberFormat="1" applyBorder="1" applyAlignment="1">
      <alignment horizontal="center" vertical="center"/>
    </xf>
    <xf numFmtId="0" fontId="4" fillId="13" borderId="16" xfId="0" applyFont="1" applyFill="1" applyBorder="1" applyAlignment="1">
      <alignment horizontal="left" vertical="center"/>
    </xf>
    <xf numFmtId="0" fontId="4" fillId="14" borderId="16" xfId="0" applyFont="1" applyFill="1" applyBorder="1" applyAlignment="1">
      <alignment horizontal="left" vertical="center"/>
    </xf>
    <xf numFmtId="0" fontId="4" fillId="15" borderId="16" xfId="0" applyFont="1" applyFill="1" applyBorder="1" applyAlignment="1">
      <alignment horizontal="left" vertical="center"/>
    </xf>
    <xf numFmtId="0" fontId="13" fillId="16" borderId="16" xfId="0" applyFont="1" applyFill="1" applyBorder="1" applyAlignment="1">
      <alignment horizontal="left" vertical="center"/>
    </xf>
    <xf numFmtId="0" fontId="4" fillId="17" borderId="16" xfId="0" applyFont="1" applyFill="1" applyBorder="1" applyAlignment="1">
      <alignment horizontal="left" vertical="center"/>
    </xf>
    <xf numFmtId="0" fontId="0" fillId="2" borderId="22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4" fillId="8" borderId="39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0" fontId="0" fillId="0" borderId="40" xfId="0" applyNumberFormat="1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10" fontId="0" fillId="0" borderId="51" xfId="0" applyNumberFormat="1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8" fillId="5" borderId="55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5" fillId="0" borderId="3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8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24" xfId="0" applyFont="1" applyFill="1" applyBorder="1" applyAlignment="1" applyProtection="1">
      <alignment horizontal="center" vertical="center" wrapText="1"/>
    </xf>
    <xf numFmtId="0" fontId="6" fillId="0" borderId="23" xfId="0" applyFont="1" applyFill="1" applyBorder="1" applyAlignment="1" applyProtection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7" xfId="0" applyFill="1" applyBorder="1" applyAlignment="1" applyProtection="1">
      <alignment horizontal="center" vertical="center"/>
    </xf>
    <xf numFmtId="0" fontId="0" fillId="0" borderId="18" xfId="0" applyFill="1" applyBorder="1" applyAlignment="1" applyProtection="1">
      <alignment horizontal="center" vertical="center"/>
    </xf>
    <xf numFmtId="0" fontId="7" fillId="0" borderId="17" xfId="0" applyFont="1" applyFill="1" applyBorder="1" applyAlignment="1" applyProtection="1">
      <alignment horizontal="center" vertical="center" wrapText="1"/>
    </xf>
    <xf numFmtId="0" fontId="7" fillId="0" borderId="18" xfId="0" applyFont="1" applyFill="1" applyBorder="1" applyAlignment="1" applyProtection="1">
      <alignment horizontal="center" vertical="center" wrapText="1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14" fontId="0" fillId="0" borderId="20" xfId="0" applyNumberFormat="1" applyFill="1" applyBorder="1" applyAlignment="1" applyProtection="1">
      <alignment horizontal="center" vertical="center"/>
    </xf>
    <xf numFmtId="0" fontId="0" fillId="0" borderId="20" xfId="0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5" fillId="2" borderId="13" xfId="0" applyFont="1" applyFill="1" applyBorder="1" applyAlignment="1" applyProtection="1">
      <alignment horizontal="center" vertical="center"/>
    </xf>
    <xf numFmtId="0" fontId="5" fillId="2" borderId="14" xfId="0" applyFont="1" applyFill="1" applyBorder="1" applyAlignment="1" applyProtection="1">
      <alignment horizontal="center" vertical="center"/>
    </xf>
    <xf numFmtId="0" fontId="5" fillId="2" borderId="15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0" fillId="0" borderId="24" xfId="0" applyFill="1" applyBorder="1" applyAlignment="1" applyProtection="1">
      <alignment horizontal="center" vertic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5" borderId="2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164" fontId="1" fillId="0" borderId="24" xfId="0" applyNumberFormat="1" applyFont="1" applyFill="1" applyBorder="1" applyAlignment="1" applyProtection="1">
      <alignment horizontal="center" vertical="center"/>
    </xf>
    <xf numFmtId="164" fontId="1" fillId="0" borderId="17" xfId="0" applyNumberFormat="1" applyFont="1" applyFill="1" applyBorder="1" applyAlignment="1" applyProtection="1">
      <alignment horizontal="center" vertical="center"/>
    </xf>
    <xf numFmtId="164" fontId="1" fillId="0" borderId="20" xfId="0" applyNumberFormat="1" applyFont="1" applyFill="1" applyBorder="1" applyAlignment="1" applyProtection="1">
      <alignment horizontal="center" vertical="center"/>
    </xf>
    <xf numFmtId="0" fontId="8" fillId="5" borderId="37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8" fillId="5" borderId="39" xfId="0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 applyProtection="1">
      <alignment horizontal="center" vertical="center"/>
    </xf>
    <xf numFmtId="0" fontId="9" fillId="4" borderId="26" xfId="0" applyFont="1" applyFill="1" applyBorder="1" applyAlignment="1" applyProtection="1">
      <alignment horizontal="center" vertical="center"/>
    </xf>
    <xf numFmtId="0" fontId="9" fillId="4" borderId="28" xfId="0" applyFont="1" applyFill="1" applyBorder="1" applyAlignment="1" applyProtection="1">
      <alignment horizontal="center" vertical="center"/>
    </xf>
    <xf numFmtId="164" fontId="4" fillId="0" borderId="31" xfId="0" applyNumberFormat="1" applyFont="1" applyFill="1" applyBorder="1" applyAlignment="1" applyProtection="1">
      <alignment horizontal="center" vertical="center"/>
    </xf>
    <xf numFmtId="0" fontId="0" fillId="4" borderId="29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9" fillId="4" borderId="22" xfId="0" applyFont="1" applyFill="1" applyBorder="1" applyAlignment="1" applyProtection="1">
      <alignment horizontal="center" vertical="center"/>
    </xf>
    <xf numFmtId="0" fontId="9" fillId="4" borderId="2" xfId="0" applyFont="1" applyFill="1" applyBorder="1" applyAlignment="1" applyProtection="1">
      <alignment horizontal="center" vertical="center"/>
    </xf>
    <xf numFmtId="0" fontId="9" fillId="4" borderId="3" xfId="0" applyFont="1" applyFill="1" applyBorder="1" applyAlignment="1" applyProtection="1">
      <alignment horizontal="center" vertical="center"/>
    </xf>
    <xf numFmtId="0" fontId="8" fillId="5" borderId="25" xfId="0" applyFont="1" applyFill="1" applyBorder="1" applyAlignment="1" applyProtection="1">
      <alignment horizontal="center" vertical="center"/>
    </xf>
    <xf numFmtId="0" fontId="8" fillId="5" borderId="16" xfId="0" applyFont="1" applyFill="1" applyBorder="1" applyAlignment="1" applyProtection="1">
      <alignment horizontal="center" vertical="center"/>
    </xf>
    <xf numFmtId="0" fontId="8" fillId="5" borderId="30" xfId="0" applyFont="1" applyFill="1" applyBorder="1" applyAlignment="1" applyProtection="1">
      <alignment horizontal="center" vertical="center"/>
    </xf>
    <xf numFmtId="0" fontId="8" fillId="5" borderId="19" xfId="0" applyFont="1" applyFill="1" applyBorder="1" applyAlignment="1" applyProtection="1">
      <alignment horizontal="center" vertical="center"/>
    </xf>
    <xf numFmtId="0" fontId="5" fillId="6" borderId="13" xfId="0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 applyProtection="1">
      <alignment horizontal="center" vertical="center"/>
    </xf>
    <xf numFmtId="164" fontId="4" fillId="0" borderId="14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164" fontId="0" fillId="0" borderId="17" xfId="0" applyNumberFormat="1" applyFont="1" applyFill="1" applyBorder="1" applyAlignment="1" applyProtection="1">
      <alignment horizontal="center" vertical="center"/>
    </xf>
    <xf numFmtId="0" fontId="9" fillId="4" borderId="35" xfId="0" applyFont="1" applyFill="1" applyBorder="1" applyAlignment="1" applyProtection="1">
      <alignment horizontal="center" vertical="center"/>
    </xf>
    <xf numFmtId="164" fontId="4" fillId="0" borderId="20" xfId="0" applyNumberFormat="1" applyFont="1" applyFill="1" applyBorder="1" applyAlignment="1" applyProtection="1">
      <alignment horizontal="center" vertical="center"/>
    </xf>
    <xf numFmtId="164" fontId="0" fillId="0" borderId="31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Pourcentage" xfId="1" builtinId="5"/>
  </cellStyles>
  <dxfs count="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FF99FF"/>
      <color rgb="FFCC99FF"/>
      <color rgb="FFFFCC00"/>
      <color rgb="FF009999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0</xdr:row>
      <xdr:rowOff>0</xdr:rowOff>
    </xdr:from>
    <xdr:to>
      <xdr:col>7</xdr:col>
      <xdr:colOff>523876</xdr:colOff>
      <xdr:row>0</xdr:row>
      <xdr:rowOff>1170581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0"/>
          <a:ext cx="4676776" cy="11705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123826</xdr:rowOff>
    </xdr:from>
    <xdr:to>
      <xdr:col>5</xdr:col>
      <xdr:colOff>100965</xdr:colOff>
      <xdr:row>4</xdr:row>
      <xdr:rowOff>66676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123826"/>
          <a:ext cx="3990975" cy="590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85724</xdr:rowOff>
    </xdr:from>
    <xdr:to>
      <xdr:col>1</xdr:col>
      <xdr:colOff>1590392</xdr:colOff>
      <xdr:row>2</xdr:row>
      <xdr:rowOff>143255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4"/>
          <a:ext cx="1523717" cy="381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85724</xdr:rowOff>
    </xdr:from>
    <xdr:to>
      <xdr:col>1</xdr:col>
      <xdr:colOff>1590392</xdr:colOff>
      <xdr:row>2</xdr:row>
      <xdr:rowOff>143255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4"/>
          <a:ext cx="1523717" cy="381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85724</xdr:rowOff>
    </xdr:from>
    <xdr:to>
      <xdr:col>1</xdr:col>
      <xdr:colOff>1590392</xdr:colOff>
      <xdr:row>2</xdr:row>
      <xdr:rowOff>143255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4"/>
          <a:ext cx="1523717" cy="381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85724</xdr:rowOff>
    </xdr:from>
    <xdr:to>
      <xdr:col>1</xdr:col>
      <xdr:colOff>1590392</xdr:colOff>
      <xdr:row>2</xdr:row>
      <xdr:rowOff>143255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4"/>
          <a:ext cx="1523717" cy="381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85724</xdr:rowOff>
    </xdr:from>
    <xdr:to>
      <xdr:col>1</xdr:col>
      <xdr:colOff>1590392</xdr:colOff>
      <xdr:row>2</xdr:row>
      <xdr:rowOff>143255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4"/>
          <a:ext cx="1523717" cy="381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85724</xdr:rowOff>
    </xdr:from>
    <xdr:to>
      <xdr:col>1</xdr:col>
      <xdr:colOff>1590392</xdr:colOff>
      <xdr:row>2</xdr:row>
      <xdr:rowOff>143255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4"/>
          <a:ext cx="1523717" cy="3813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85724</xdr:rowOff>
    </xdr:from>
    <xdr:to>
      <xdr:col>1</xdr:col>
      <xdr:colOff>1590392</xdr:colOff>
      <xdr:row>2</xdr:row>
      <xdr:rowOff>143255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4"/>
          <a:ext cx="1523717" cy="38138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85724</xdr:rowOff>
    </xdr:from>
    <xdr:to>
      <xdr:col>1</xdr:col>
      <xdr:colOff>1590392</xdr:colOff>
      <xdr:row>2</xdr:row>
      <xdr:rowOff>143255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4"/>
          <a:ext cx="1523717" cy="38138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85724</xdr:rowOff>
    </xdr:from>
    <xdr:to>
      <xdr:col>1</xdr:col>
      <xdr:colOff>1590392</xdr:colOff>
      <xdr:row>2</xdr:row>
      <xdr:rowOff>143255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4"/>
          <a:ext cx="1523717" cy="3813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85724</xdr:rowOff>
    </xdr:from>
    <xdr:to>
      <xdr:col>1</xdr:col>
      <xdr:colOff>1590392</xdr:colOff>
      <xdr:row>2</xdr:row>
      <xdr:rowOff>143255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4"/>
          <a:ext cx="1523717" cy="381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9"/>
  <sheetViews>
    <sheetView workbookViewId="0">
      <selection activeCell="E27" sqref="E27"/>
    </sheetView>
  </sheetViews>
  <sheetFormatPr baseColWidth="10" defaultRowHeight="12.75" x14ac:dyDescent="0.2"/>
  <cols>
    <col min="1" max="1" width="16.5703125" bestFit="1" customWidth="1"/>
    <col min="2" max="2" width="11.85546875" bestFit="1" customWidth="1"/>
    <col min="3" max="3" width="11.42578125" customWidth="1"/>
    <col min="6" max="6" width="14.28515625" customWidth="1"/>
    <col min="8" max="8" width="14.140625" bestFit="1" customWidth="1"/>
    <col min="9" max="9" width="13.42578125" customWidth="1"/>
    <col min="11" max="11" width="43.85546875" bestFit="1" customWidth="1"/>
    <col min="39" max="39" width="22.85546875" bestFit="1" customWidth="1"/>
  </cols>
  <sheetData>
    <row r="1" spans="1:40" ht="96" customHeight="1" thickBot="1" x14ac:dyDescent="0.25">
      <c r="A1" s="121"/>
      <c r="B1" s="122"/>
      <c r="C1" s="122"/>
      <c r="D1" s="122"/>
      <c r="E1" s="122"/>
      <c r="F1" s="122"/>
      <c r="G1" s="122"/>
      <c r="H1" s="122"/>
      <c r="I1" s="122"/>
      <c r="J1" s="123"/>
      <c r="K1" s="116" t="s">
        <v>86</v>
      </c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20"/>
      <c r="AF1" s="116" t="s">
        <v>87</v>
      </c>
      <c r="AG1" s="117"/>
      <c r="AH1" s="117"/>
      <c r="AI1" s="117"/>
      <c r="AJ1" s="117"/>
      <c r="AK1" s="117"/>
      <c r="AL1" s="117"/>
      <c r="AM1" s="117"/>
      <c r="AN1" s="118"/>
    </row>
    <row r="2" spans="1:40" ht="39.950000000000003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90"/>
      <c r="AH2" s="90"/>
      <c r="AI2" s="90"/>
      <c r="AJ2" s="90"/>
      <c r="AK2" s="90"/>
      <c r="AL2" s="90"/>
      <c r="AM2" s="90"/>
      <c r="AN2" s="90"/>
    </row>
    <row r="3" spans="1:40" ht="39.950000000000003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90"/>
      <c r="AH3" s="90"/>
      <c r="AI3" s="90"/>
      <c r="AJ3" s="90"/>
      <c r="AK3" s="90"/>
      <c r="AL3" s="90"/>
      <c r="AM3" s="90"/>
      <c r="AN3" s="90"/>
    </row>
    <row r="4" spans="1:40" ht="39.950000000000003" customHeight="1" thickBot="1" x14ac:dyDescent="0.25"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</row>
    <row r="5" spans="1:40" s="47" customFormat="1" ht="30" customHeight="1" thickBot="1" x14ac:dyDescent="0.25">
      <c r="L5" s="124" t="s">
        <v>56</v>
      </c>
      <c r="M5" s="125"/>
      <c r="N5" s="125"/>
      <c r="O5" s="125"/>
      <c r="P5" s="125"/>
      <c r="Q5" s="126"/>
      <c r="R5" s="129" t="s">
        <v>75</v>
      </c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8"/>
      <c r="AE5" s="127" t="s">
        <v>76</v>
      </c>
      <c r="AF5" s="127"/>
      <c r="AG5" s="127"/>
      <c r="AH5" s="127"/>
      <c r="AI5" s="127"/>
      <c r="AJ5" s="127"/>
      <c r="AK5" s="127"/>
      <c r="AL5" s="128"/>
      <c r="AM5" s="84" t="s">
        <v>66</v>
      </c>
    </row>
    <row r="6" spans="1:40" ht="54.75" thickBot="1" x14ac:dyDescent="0.25">
      <c r="A6" s="48" t="s">
        <v>72</v>
      </c>
      <c r="B6" s="49" t="s">
        <v>48</v>
      </c>
      <c r="C6" s="49" t="s">
        <v>45</v>
      </c>
      <c r="D6" s="50" t="s">
        <v>7</v>
      </c>
      <c r="E6" s="49" t="s">
        <v>46</v>
      </c>
      <c r="F6" s="49" t="s">
        <v>77</v>
      </c>
      <c r="G6" s="49" t="s">
        <v>47</v>
      </c>
      <c r="H6" s="49" t="s">
        <v>49</v>
      </c>
      <c r="I6" s="49" t="s">
        <v>50</v>
      </c>
      <c r="J6" s="49" t="s">
        <v>51</v>
      </c>
      <c r="K6" s="49" t="s">
        <v>69</v>
      </c>
      <c r="L6" s="58" t="s">
        <v>52</v>
      </c>
      <c r="M6" s="58" t="s">
        <v>53</v>
      </c>
      <c r="N6" s="58" t="s">
        <v>54</v>
      </c>
      <c r="O6" s="58" t="s">
        <v>21</v>
      </c>
      <c r="P6" s="58" t="s">
        <v>55</v>
      </c>
      <c r="Q6" s="58" t="s">
        <v>37</v>
      </c>
      <c r="R6" s="58" t="s">
        <v>24</v>
      </c>
      <c r="S6" s="58" t="s">
        <v>43</v>
      </c>
      <c r="T6" s="58" t="s">
        <v>57</v>
      </c>
      <c r="U6" s="58" t="s">
        <v>58</v>
      </c>
      <c r="V6" s="58" t="s">
        <v>21</v>
      </c>
      <c r="W6" s="58" t="s">
        <v>39</v>
      </c>
      <c r="X6" s="58" t="s">
        <v>38</v>
      </c>
      <c r="Y6" s="58" t="s">
        <v>59</v>
      </c>
      <c r="Z6" s="85" t="s">
        <v>60</v>
      </c>
      <c r="AA6" s="85" t="s">
        <v>61</v>
      </c>
      <c r="AB6" s="85" t="s">
        <v>62</v>
      </c>
      <c r="AC6" s="85" t="s">
        <v>63</v>
      </c>
      <c r="AD6" s="58" t="s">
        <v>41</v>
      </c>
      <c r="AE6" s="58" t="s">
        <v>64</v>
      </c>
      <c r="AF6" s="85" t="s">
        <v>60</v>
      </c>
      <c r="AG6" s="85" t="s">
        <v>62</v>
      </c>
      <c r="AH6" s="85" t="s">
        <v>40</v>
      </c>
      <c r="AI6" s="58" t="s">
        <v>43</v>
      </c>
      <c r="AJ6" s="58" t="s">
        <v>24</v>
      </c>
      <c r="AK6" s="58" t="s">
        <v>39</v>
      </c>
      <c r="AL6" s="58" t="s">
        <v>44</v>
      </c>
      <c r="AM6" s="59" t="s">
        <v>85</v>
      </c>
      <c r="AN6" s="86" t="s">
        <v>68</v>
      </c>
    </row>
    <row r="7" spans="1:40" s="46" customFormat="1" ht="20.100000000000001" customHeight="1" x14ac:dyDescent="0.2">
      <c r="A7" s="95" t="s">
        <v>82</v>
      </c>
      <c r="B7" s="41" t="s">
        <v>73</v>
      </c>
      <c r="C7" s="44">
        <v>43608</v>
      </c>
      <c r="D7" s="45" t="s">
        <v>97</v>
      </c>
      <c r="E7" s="45">
        <v>293009</v>
      </c>
      <c r="F7" s="45" t="s">
        <v>94</v>
      </c>
      <c r="G7" s="99">
        <v>4.5199999999999996</v>
      </c>
      <c r="H7" s="45" t="s">
        <v>102</v>
      </c>
      <c r="I7" s="44">
        <v>43612</v>
      </c>
      <c r="J7" s="45">
        <v>2</v>
      </c>
      <c r="K7" s="57" t="s">
        <v>103</v>
      </c>
      <c r="L7" s="67">
        <f>'Les Arcs sur Argens'!F19</f>
        <v>0</v>
      </c>
      <c r="M7" s="68">
        <f>'Les Arcs sur Argens'!F20</f>
        <v>1.574514829732699E-2</v>
      </c>
      <c r="N7" s="68">
        <f>'Les Arcs sur Argens'!F21</f>
        <v>1.1900402782863421E-2</v>
      </c>
      <c r="O7" s="68">
        <f>'Les Arcs sur Argens'!F22</f>
        <v>3.5701208348590261E-3</v>
      </c>
      <c r="P7" s="68">
        <f>'Les Arcs sur Argens'!F23</f>
        <v>3.5701208348590261E-3</v>
      </c>
      <c r="Q7" s="69">
        <f>'Les Arcs sur Argens'!F24</f>
        <v>4.4123031856462838E-2</v>
      </c>
      <c r="R7" s="67">
        <f>'Les Arcs sur Argens'!F26</f>
        <v>5.0347857927499091E-3</v>
      </c>
      <c r="S7" s="68">
        <f>'Les Arcs sur Argens'!F27</f>
        <v>4.6503112413035522E-2</v>
      </c>
      <c r="T7" s="68">
        <f>'Les Arcs sur Argens'!F28</f>
        <v>6.0692054192603442E-2</v>
      </c>
      <c r="U7" s="68">
        <f>'Les Arcs sur Argens'!F29</f>
        <v>4.7143903332112783E-2</v>
      </c>
      <c r="V7" s="68">
        <f>'Les Arcs sur Argens'!F30</f>
        <v>2.7462467960454044E-3</v>
      </c>
      <c r="W7" s="68">
        <f>'Les Arcs sur Argens'!F31</f>
        <v>0.11827169534968877</v>
      </c>
      <c r="X7" s="68">
        <f>'Les Arcs sur Argens'!F32</f>
        <v>9.9780300256316359E-2</v>
      </c>
      <c r="Y7" s="68">
        <f>'Les Arcs sur Argens'!F33</f>
        <v>1.9498352251922372E-2</v>
      </c>
      <c r="Z7" s="68">
        <f>'Les Arcs sur Argens'!F34</f>
        <v>9.749176125961187E-2</v>
      </c>
      <c r="AA7" s="68">
        <f>'Les Arcs sur Argens'!F35</f>
        <v>5.4924935920908089E-3</v>
      </c>
      <c r="AB7" s="68">
        <f>'Les Arcs sur Argens'!F36</f>
        <v>0.12303185646283413</v>
      </c>
      <c r="AC7" s="68">
        <f>'Les Arcs sur Argens'!F37</f>
        <v>4.7418528011717316E-2</v>
      </c>
      <c r="AD7" s="69">
        <f>'Les Arcs sur Argens'!F38</f>
        <v>0.16395093372391067</v>
      </c>
      <c r="AE7" s="67">
        <f>'Les Arcs sur Argens'!F40</f>
        <v>8.8795313072134747E-3</v>
      </c>
      <c r="AF7" s="68">
        <f>'Les Arcs sur Argens'!F41</f>
        <v>5.3094104723544486E-3</v>
      </c>
      <c r="AG7" s="68">
        <f>'Les Arcs sur Argens'!F42</f>
        <v>1.1900402782863422E-3</v>
      </c>
      <c r="AH7" s="68">
        <f>'Les Arcs sur Argens'!F43</f>
        <v>4.3939948736726473E-3</v>
      </c>
      <c r="AI7" s="68">
        <f>'Les Arcs sur Argens'!F44</f>
        <v>3.0208714756499453E-3</v>
      </c>
      <c r="AJ7" s="68">
        <f>'Les Arcs sur Argens'!F45</f>
        <v>1.4646649578908826E-3</v>
      </c>
      <c r="AK7" s="68">
        <f>'Les Arcs sur Argens'!F46</f>
        <v>4.7601611131453687E-3</v>
      </c>
      <c r="AL7" s="69">
        <f>'Les Arcs sur Argens'!F47</f>
        <v>2.3800805565726843E-3</v>
      </c>
      <c r="AM7" s="64">
        <f>'Les Arcs sur Argens'!F49</f>
        <v>5.2636396924203591E-2</v>
      </c>
      <c r="AN7" s="64"/>
    </row>
    <row r="8" spans="1:40" s="46" customFormat="1" ht="20.100000000000001" customHeight="1" thickBot="1" x14ac:dyDescent="0.25">
      <c r="A8" s="108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10">
        <f>L7+M7+N7+O7+P7+Q7</f>
        <v>7.8908824606371303E-2</v>
      </c>
      <c r="M8" s="111"/>
      <c r="N8" s="111"/>
      <c r="O8" s="111"/>
      <c r="P8" s="111"/>
      <c r="Q8" s="112"/>
      <c r="R8" s="110">
        <f>R7+S7+T7+U7+V7+W7+X7+Y7+Z7+AA7+AB7++AC7+AD7</f>
        <v>0.83705602343463936</v>
      </c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2"/>
      <c r="AE8" s="110">
        <f>AE7+AF7+AG7+AH7+AI7+AJ7+AK7+AL7</f>
        <v>3.1398755034785793E-2</v>
      </c>
      <c r="AF8" s="111"/>
      <c r="AG8" s="111"/>
      <c r="AH8" s="111"/>
      <c r="AI8" s="111"/>
      <c r="AJ8" s="111"/>
      <c r="AK8" s="111"/>
      <c r="AL8" s="112"/>
      <c r="AM8" s="76">
        <f>AM7</f>
        <v>5.2636396924203591E-2</v>
      </c>
      <c r="AN8" s="66">
        <f>AM8+AE8+R8+L8</f>
        <v>1</v>
      </c>
    </row>
    <row r="9" spans="1:40" s="46" customFormat="1" ht="20.100000000000001" customHeight="1" x14ac:dyDescent="0.2">
      <c r="A9" s="96" t="s">
        <v>67</v>
      </c>
      <c r="B9" s="41" t="s">
        <v>108</v>
      </c>
      <c r="C9" s="44">
        <v>43609</v>
      </c>
      <c r="D9" s="45" t="s">
        <v>105</v>
      </c>
      <c r="E9" s="45">
        <v>293151</v>
      </c>
      <c r="F9" s="45" t="s">
        <v>92</v>
      </c>
      <c r="G9" s="99">
        <v>6.62</v>
      </c>
      <c r="H9" s="45" t="s">
        <v>102</v>
      </c>
      <c r="I9" s="44">
        <v>43612</v>
      </c>
      <c r="J9" s="45">
        <v>2</v>
      </c>
      <c r="K9" s="57" t="s">
        <v>110</v>
      </c>
      <c r="L9" s="67">
        <f>'Draguignan  Bleu A1'!F19</f>
        <v>0</v>
      </c>
      <c r="M9" s="68">
        <f>'Draguignan  Bleu A1'!F20</f>
        <v>4.3067481359855744E-3</v>
      </c>
      <c r="N9" s="68">
        <f>'Draguignan  Bleu A1'!F21</f>
        <v>2.0457053645931474E-3</v>
      </c>
      <c r="O9" s="68">
        <f>'Draguignan  Bleu A1'!F22</f>
        <v>4.6835885978843113E-3</v>
      </c>
      <c r="P9" s="68">
        <f>'Draguignan  Bleu A1'!F23</f>
        <v>2.4763801781917051E-3</v>
      </c>
      <c r="Q9" s="69">
        <f>'Draguignan  Bleu A1'!F24</f>
        <v>8.5542784851013451E-2</v>
      </c>
      <c r="R9" s="67">
        <f>'Draguignan  Bleu A1'!F26</f>
        <v>4.0375763774864754E-3</v>
      </c>
      <c r="S9" s="68">
        <f>'Draguignan  Bleu A1'!F27</f>
        <v>3.3215794998788739E-2</v>
      </c>
      <c r="T9" s="68">
        <f>'Draguignan  Bleu A1'!F28</f>
        <v>4.6459045516944381E-2</v>
      </c>
      <c r="U9" s="68">
        <f>'Draguignan  Bleu A1'!F29</f>
        <v>5.6526069284810659E-2</v>
      </c>
      <c r="V9" s="68">
        <f>'Draguignan  Bleu A1'!F30</f>
        <v>1.7226992543942295E-3</v>
      </c>
      <c r="W9" s="68">
        <f>'Draguignan  Bleu A1'!F31</f>
        <v>0.2016634814675245</v>
      </c>
      <c r="X9" s="68">
        <f>'Draguignan  Bleu A1'!F32</f>
        <v>2.0510887997631295E-2</v>
      </c>
      <c r="Y9" s="68">
        <f>'Draguignan  Bleu A1'!F33</f>
        <v>1.9165029205135804E-2</v>
      </c>
      <c r="Z9" s="68">
        <f>'Draguignan  Bleu A1'!F34</f>
        <v>0.12909477537616756</v>
      </c>
      <c r="AA9" s="68">
        <f>'Draguignan  Bleu A1'!F35</f>
        <v>2.6378832332911639E-3</v>
      </c>
      <c r="AB9" s="68">
        <f>'Draguignan  Bleu A1'!F36</f>
        <v>5.9110118166402E-2</v>
      </c>
      <c r="AC9" s="68">
        <f>'Draguignan  Bleu A1'!F37</f>
        <v>7.1895776695109173E-2</v>
      </c>
      <c r="AD9" s="69">
        <f>'Draguignan  Bleu A1'!F38</f>
        <v>0.15908050927296713</v>
      </c>
      <c r="AE9" s="67">
        <f>'Draguignan  Bleu A1'!F40</f>
        <v>6.9984657209765577E-4</v>
      </c>
      <c r="AF9" s="68">
        <f>'Draguignan  Bleu A1'!F41</f>
        <v>3.9299076740868357E-3</v>
      </c>
      <c r="AG9" s="68">
        <f>'Draguignan  Bleu A1'!F42</f>
        <v>3.2300611019891803E-3</v>
      </c>
      <c r="AH9" s="68">
        <f>'Draguignan  Bleu A1'!F43</f>
        <v>2.0995397162929673E-3</v>
      </c>
      <c r="AI9" s="68">
        <f>'Draguignan  Bleu A1'!F44</f>
        <v>6.1371160937794423E-3</v>
      </c>
      <c r="AJ9" s="68">
        <f>'Draguignan  Bleu A1'!F45</f>
        <v>0</v>
      </c>
      <c r="AK9" s="68">
        <f>'Draguignan  Bleu A1'!F46</f>
        <v>3.3915641570886395E-3</v>
      </c>
      <c r="AL9" s="69">
        <f>'Draguignan  Bleu A1'!F47</f>
        <v>2.584048881591344E-3</v>
      </c>
      <c r="AM9" s="64">
        <f>'Draguignan  Bleu A1'!F49</f>
        <v>7.375306182875295E-2</v>
      </c>
      <c r="AN9" s="87"/>
    </row>
    <row r="10" spans="1:40" s="46" customFormat="1" ht="20.100000000000001" customHeight="1" thickBot="1" x14ac:dyDescent="0.25">
      <c r="A10" s="108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10">
        <f>L9+M9+N9+O9+P9+Q9</f>
        <v>9.9055207127668188E-2</v>
      </c>
      <c r="M10" s="111"/>
      <c r="N10" s="111"/>
      <c r="O10" s="111"/>
      <c r="P10" s="111"/>
      <c r="Q10" s="112"/>
      <c r="R10" s="110">
        <f>R9+S9+T9+U9+V9+W9+X9+Y9+Z9+AA9+AB9+AC9+AD9</f>
        <v>0.80511964684665305</v>
      </c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2"/>
      <c r="AE10" s="110">
        <f>AE9+AF9+AG9+AH9+AI9+AJ9+AK9+AL9</f>
        <v>2.2072084196926064E-2</v>
      </c>
      <c r="AF10" s="111"/>
      <c r="AG10" s="111"/>
      <c r="AH10" s="111"/>
      <c r="AI10" s="111"/>
      <c r="AJ10" s="111"/>
      <c r="AK10" s="111"/>
      <c r="AL10" s="112"/>
      <c r="AM10" s="76">
        <f>AM9</f>
        <v>7.375306182875295E-2</v>
      </c>
      <c r="AN10" s="76">
        <f>AM10+AE10+R10+L10</f>
        <v>1.0000000000000002</v>
      </c>
    </row>
    <row r="11" spans="1:40" s="46" customFormat="1" ht="20.100000000000001" customHeight="1" x14ac:dyDescent="0.2">
      <c r="A11" s="98" t="s">
        <v>112</v>
      </c>
      <c r="B11" s="41" t="s">
        <v>73</v>
      </c>
      <c r="C11" s="44">
        <v>43609</v>
      </c>
      <c r="D11" s="45" t="s">
        <v>113</v>
      </c>
      <c r="E11" s="45">
        <v>293157</v>
      </c>
      <c r="F11" s="45" t="s">
        <v>114</v>
      </c>
      <c r="G11" s="99">
        <v>5</v>
      </c>
      <c r="H11" s="45" t="s">
        <v>102</v>
      </c>
      <c r="I11" s="44">
        <v>43613</v>
      </c>
      <c r="J11" s="45">
        <v>2</v>
      </c>
      <c r="K11" s="57" t="s">
        <v>115</v>
      </c>
      <c r="L11" s="77">
        <f>'Trans en Provence Ext'!F19</f>
        <v>0</v>
      </c>
      <c r="M11" s="78">
        <f>'Trans en Provence Ext'!F20</f>
        <v>1.6155088852988688E-3</v>
      </c>
      <c r="N11" s="78">
        <f>'Trans en Provence Ext'!F21</f>
        <v>4.0738919716232338E-3</v>
      </c>
      <c r="O11" s="78">
        <f>'Trans en Provence Ext'!F22</f>
        <v>2.5286226030764901E-3</v>
      </c>
      <c r="P11" s="78">
        <f>'Trans en Provence Ext'!F23</f>
        <v>1.2853831565638825E-2</v>
      </c>
      <c r="Q11" s="79">
        <f>'Trans en Provence Ext'!F24</f>
        <v>1.6646765470253563E-2</v>
      </c>
      <c r="R11" s="77">
        <f>'Trans en Provence Ext'!F26</f>
        <v>2.7393411533328644E-3</v>
      </c>
      <c r="S11" s="78">
        <f>'Trans en Provence Ext'!F27</f>
        <v>3.1397063988199754E-2</v>
      </c>
      <c r="T11" s="78">
        <f>'Trans en Provence Ext'!F28</f>
        <v>4.6919997190419317E-2</v>
      </c>
      <c r="U11" s="78">
        <f>'Trans en Provence Ext'!F29</f>
        <v>5.9633349722553887E-2</v>
      </c>
      <c r="V11" s="78">
        <f>'Trans en Provence Ext'!F30</f>
        <v>1.053592751281871E-2</v>
      </c>
      <c r="W11" s="78">
        <f>'Trans en Provence Ext'!F31</f>
        <v>0.15213879328510216</v>
      </c>
      <c r="X11" s="78">
        <f>'Trans en Provence Ext'!F32</f>
        <v>6.7429936082039734E-3</v>
      </c>
      <c r="Y11" s="78">
        <f>'Trans en Provence Ext'!F33</f>
        <v>2.128257357589379E-2</v>
      </c>
      <c r="Z11" s="78">
        <f>'Trans en Provence Ext'!F34</f>
        <v>6.0546463440331509E-2</v>
      </c>
      <c r="AA11" s="78">
        <f>'Trans en Provence Ext'!F35</f>
        <v>4.7762871391444821E-3</v>
      </c>
      <c r="AB11" s="78">
        <f>'Trans en Provence Ext'!F36</f>
        <v>0.16000561916134015</v>
      </c>
      <c r="AC11" s="78">
        <f>'Trans en Provence Ext'!F37</f>
        <v>3.8069818079651603E-2</v>
      </c>
      <c r="AD11" s="79">
        <f>'Trans en Provence Ext'!F38</f>
        <v>0.2426072908618388</v>
      </c>
      <c r="AE11" s="77">
        <f>'Trans en Provence Ext'!F40</f>
        <v>2.3881435695722411E-3</v>
      </c>
      <c r="AF11" s="78">
        <f>'Trans en Provence Ext'!F41</f>
        <v>4.1441314883753589E-3</v>
      </c>
      <c r="AG11" s="78">
        <f>'Trans en Provence Ext'!F42</f>
        <v>6.3215565076912253E-4</v>
      </c>
      <c r="AH11" s="78">
        <f>'Trans en Provence Ext'!F43</f>
        <v>5.1977242396572297E-3</v>
      </c>
      <c r="AI11" s="78">
        <f>'Trans en Provence Ext'!F44</f>
        <v>5.8298798904263521E-3</v>
      </c>
      <c r="AJ11" s="78">
        <f>'Trans en Provence Ext'!F45</f>
        <v>3.1607782538456129E-3</v>
      </c>
      <c r="AK11" s="78">
        <f>'Trans en Provence Ext'!F46</f>
        <v>3.7929339046147356E-3</v>
      </c>
      <c r="AL11" s="79">
        <f>'Trans en Provence Ext'!F47</f>
        <v>3.4417363208541119E-3</v>
      </c>
      <c r="AM11" s="80">
        <f>'Trans en Provence Ext'!F49</f>
        <v>9.6298377467163007E-2</v>
      </c>
      <c r="AN11" s="87"/>
    </row>
    <row r="12" spans="1:40" s="46" customFormat="1" ht="20.100000000000001" customHeight="1" thickBot="1" x14ac:dyDescent="0.25">
      <c r="A12" s="108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10">
        <f>L11+M11+N11+O11+P11+Q11</f>
        <v>3.7718620495890975E-2</v>
      </c>
      <c r="M12" s="111"/>
      <c r="N12" s="111"/>
      <c r="O12" s="111"/>
      <c r="P12" s="111"/>
      <c r="Q12" s="112"/>
      <c r="R12" s="110">
        <f>R11+S11+T11+U11+V11+W11+X11+Y11+Z11+AA11+AB11+AC11+AD11</f>
        <v>0.83739551871883089</v>
      </c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2"/>
      <c r="AE12" s="110">
        <f>AE11+AF11+AG11+AH11+AI11+AJ11+AK11+AL11</f>
        <v>2.8587483318114764E-2</v>
      </c>
      <c r="AF12" s="111"/>
      <c r="AG12" s="111"/>
      <c r="AH12" s="111"/>
      <c r="AI12" s="111"/>
      <c r="AJ12" s="111"/>
      <c r="AK12" s="111"/>
      <c r="AL12" s="112"/>
      <c r="AM12" s="76">
        <f>AM11</f>
        <v>9.6298377467163007E-2</v>
      </c>
      <c r="AN12" s="76">
        <f>AM12+AE12+R12+L12</f>
        <v>0.99999999999999956</v>
      </c>
    </row>
    <row r="13" spans="1:40" s="46" customFormat="1" ht="20.100000000000001" customHeight="1" x14ac:dyDescent="0.2">
      <c r="A13" s="97" t="s">
        <v>67</v>
      </c>
      <c r="B13" s="41" t="s">
        <v>118</v>
      </c>
      <c r="C13" s="44">
        <v>43609</v>
      </c>
      <c r="D13" s="45" t="s">
        <v>119</v>
      </c>
      <c r="E13" s="45">
        <v>293175</v>
      </c>
      <c r="F13" s="45" t="s">
        <v>96</v>
      </c>
      <c r="G13" s="99">
        <v>9.36</v>
      </c>
      <c r="H13" s="45" t="s">
        <v>102</v>
      </c>
      <c r="I13" s="44">
        <v>43613</v>
      </c>
      <c r="J13" s="45">
        <v>2</v>
      </c>
      <c r="K13" s="57" t="s">
        <v>120</v>
      </c>
      <c r="L13" s="67">
        <f>'Draguignan Vert-Rouge'!F19</f>
        <v>0</v>
      </c>
      <c r="M13" s="68">
        <f>'Draguignan Vert-Rouge'!F20</f>
        <v>0</v>
      </c>
      <c r="N13" s="68">
        <f>'Draguignan Vert-Rouge'!F21</f>
        <v>0</v>
      </c>
      <c r="O13" s="68">
        <f>'Draguignan Vert-Rouge'!F22</f>
        <v>7.5773977051309819E-3</v>
      </c>
      <c r="P13" s="68">
        <f>'Draguignan Vert-Rouge'!F23</f>
        <v>6.2784152413942413E-3</v>
      </c>
      <c r="Q13" s="69">
        <f>'Draguignan Vert-Rouge'!F24</f>
        <v>2.2948690192682402E-2</v>
      </c>
      <c r="R13" s="67">
        <f>'Draguignan Vert-Rouge'!F26</f>
        <v>2.3093021577542039E-3</v>
      </c>
      <c r="S13" s="68">
        <f>'Draguignan Vert-Rouge'!F27</f>
        <v>4.272208991845277E-2</v>
      </c>
      <c r="T13" s="68">
        <f>'Draguignan Vert-Rouge'!F28</f>
        <v>3.896947391210219E-2</v>
      </c>
      <c r="U13" s="68">
        <f>'Draguignan Vert-Rouge'!F29</f>
        <v>5.8670707945442747E-2</v>
      </c>
      <c r="V13" s="68">
        <f>'Draguignan Vert-Rouge'!F30</f>
        <v>5.0515984700873207E-3</v>
      </c>
      <c r="W13" s="68">
        <f>'Draguignan Vert-Rouge'!F31</f>
        <v>0.14288807101104137</v>
      </c>
      <c r="X13" s="68">
        <f>'Draguignan Vert-Rouge'!F32</f>
        <v>1.1907339250920112E-2</v>
      </c>
      <c r="Y13" s="68">
        <f>'Draguignan Vert-Rouge'!F33</f>
        <v>1.9556902648480912E-2</v>
      </c>
      <c r="Z13" s="68">
        <f>'Draguignan Vert-Rouge'!F34</f>
        <v>0.1855379952370643</v>
      </c>
      <c r="AA13" s="68">
        <f>'Draguignan Vert-Rouge'!F35</f>
        <v>1.0031031247744822E-2</v>
      </c>
      <c r="AB13" s="68">
        <f>'Draguignan Vert-Rouge'!F36</f>
        <v>1.277332756007794E-2</v>
      </c>
      <c r="AC13" s="68">
        <f>'Draguignan Vert-Rouge'!F37</f>
        <v>0.10687739048856174</v>
      </c>
      <c r="AD13" s="69">
        <f>'Draguignan Vert-Rouge'!F38</f>
        <v>0.2589305044381901</v>
      </c>
      <c r="AE13" s="67">
        <f>'Draguignan Vert-Rouge'!F40</f>
        <v>6.4949123186836975E-4</v>
      </c>
      <c r="AF13" s="68">
        <f>'Draguignan Vert-Rouge'!F41</f>
        <v>4.1134444684996748E-3</v>
      </c>
      <c r="AG13" s="68">
        <f>'Draguignan Vert-Rouge'!F42</f>
        <v>3.6082846214909438E-4</v>
      </c>
      <c r="AH13" s="68">
        <f>'Draguignan Vert-Rouge'!F43</f>
        <v>2.2371364653243847E-3</v>
      </c>
      <c r="AI13" s="68">
        <f>'Draguignan Vert-Rouge'!F44</f>
        <v>6.4949123186836975E-4</v>
      </c>
      <c r="AJ13" s="68">
        <f>'Draguignan Vert-Rouge'!F45</f>
        <v>0</v>
      </c>
      <c r="AK13" s="68">
        <f>'Draguignan Vert-Rouge'!F46</f>
        <v>1.0103196940174643E-3</v>
      </c>
      <c r="AL13" s="69">
        <f>'Draguignan Vert-Rouge'!F47</f>
        <v>1.082485386447283E-3</v>
      </c>
      <c r="AM13" s="64">
        <f>'Draguignan Vert-Rouge'!F49</f>
        <v>5.6866565634697268E-2</v>
      </c>
      <c r="AN13" s="87"/>
    </row>
    <row r="14" spans="1:40" s="46" customFormat="1" ht="20.100000000000001" customHeight="1" thickBot="1" x14ac:dyDescent="0.25">
      <c r="A14" s="108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>
        <f>L13+M13+N13+O13+P13+Q13</f>
        <v>3.6804503139207627E-2</v>
      </c>
      <c r="M14" s="111"/>
      <c r="N14" s="111"/>
      <c r="O14" s="111"/>
      <c r="P14" s="111"/>
      <c r="Q14" s="112"/>
      <c r="R14" s="110">
        <f>R13+S13+T13+U13+V13+W13+X13+Y13+Z13+AA13+AB13+AC13+AD13</f>
        <v>0.89622573428592056</v>
      </c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2"/>
      <c r="AE14" s="110">
        <f>AE13+AF13+AG13+AH13+AI13+AJ13+AK13+AL13</f>
        <v>1.0103196940174641E-2</v>
      </c>
      <c r="AF14" s="111"/>
      <c r="AG14" s="111"/>
      <c r="AH14" s="111"/>
      <c r="AI14" s="111"/>
      <c r="AJ14" s="111"/>
      <c r="AK14" s="111"/>
      <c r="AL14" s="112"/>
      <c r="AM14" s="81">
        <f>AM13</f>
        <v>5.6866565634697268E-2</v>
      </c>
      <c r="AN14" s="76">
        <f>AM14+AE14+R14+L14</f>
        <v>1.0000000000000002</v>
      </c>
    </row>
    <row r="15" spans="1:40" s="46" customFormat="1" ht="20.100000000000001" customHeight="1" x14ac:dyDescent="0.2">
      <c r="A15" s="100" t="s">
        <v>80</v>
      </c>
      <c r="B15" s="41" t="s">
        <v>73</v>
      </c>
      <c r="C15" s="44">
        <v>43610</v>
      </c>
      <c r="D15" s="45" t="s">
        <v>124</v>
      </c>
      <c r="E15" s="45">
        <v>293262</v>
      </c>
      <c r="F15" s="45" t="s">
        <v>127</v>
      </c>
      <c r="G15" s="99">
        <v>5.5</v>
      </c>
      <c r="H15" s="45" t="s">
        <v>102</v>
      </c>
      <c r="I15" s="44">
        <v>43614</v>
      </c>
      <c r="J15" s="45">
        <v>2</v>
      </c>
      <c r="K15" s="57" t="s">
        <v>128</v>
      </c>
      <c r="L15" s="67">
        <f>'Salernes Ext'!F19</f>
        <v>5.9798393985990091E-4</v>
      </c>
      <c r="M15" s="68">
        <f>'Salernes Ext'!F20</f>
        <v>7.9446437724243982E-3</v>
      </c>
      <c r="N15" s="68">
        <f>'Salernes Ext'!F21</f>
        <v>2.5627883136852894E-3</v>
      </c>
      <c r="O15" s="68">
        <f>'Salernes Ext'!F22</f>
        <v>3.8441824705279346E-3</v>
      </c>
      <c r="P15" s="68">
        <f>'Salernes Ext'!F23</f>
        <v>0</v>
      </c>
      <c r="Q15" s="69">
        <f>'Salernes Ext'!F24</f>
        <v>2.6225867076712799E-2</v>
      </c>
      <c r="R15" s="67">
        <f>'Salernes Ext'!F26</f>
        <v>0</v>
      </c>
      <c r="S15" s="68">
        <f>'Salernes Ext'!F27</f>
        <v>5.945668887749872E-2</v>
      </c>
      <c r="T15" s="68">
        <f>'Salernes Ext'!F28</f>
        <v>3.1864001366820431E-2</v>
      </c>
      <c r="U15" s="68">
        <f>'Salernes Ext'!F29</f>
        <v>5.8858704937638819E-2</v>
      </c>
      <c r="V15" s="68">
        <f>'Salernes Ext'!F30</f>
        <v>2.9044934221766619E-3</v>
      </c>
      <c r="W15" s="68">
        <f>'Salernes Ext'!F31</f>
        <v>9.772766102853235E-2</v>
      </c>
      <c r="X15" s="68">
        <f>'Salernes Ext'!F32</f>
        <v>2.4431915257133091E-2</v>
      </c>
      <c r="Y15" s="68">
        <f>'Salernes Ext'!F33</f>
        <v>2.4602767811378778E-2</v>
      </c>
      <c r="Z15" s="68">
        <f>'Salernes Ext'!F34</f>
        <v>9.0295574918845031E-2</v>
      </c>
      <c r="AA15" s="68">
        <f>'Salernes Ext'!F35</f>
        <v>2.1356569280710745E-3</v>
      </c>
      <c r="AB15" s="68">
        <f>'Salernes Ext'!F36</f>
        <v>0.18264138048863829</v>
      </c>
      <c r="AC15" s="68">
        <f>'Salernes Ext'!F37</f>
        <v>6.8597300529642913E-2</v>
      </c>
      <c r="AD15" s="69">
        <f>'Salernes Ext'!F38</f>
        <v>0.25790193063386296</v>
      </c>
      <c r="AE15" s="67">
        <f>'Salernes Ext'!F40</f>
        <v>5.1255766273705791E-4</v>
      </c>
      <c r="AF15" s="68">
        <f>'Salernes Ext'!F41</f>
        <v>2.9899196992995043E-3</v>
      </c>
      <c r="AG15" s="68">
        <f>'Salernes Ext'!F42</f>
        <v>2.2637963437553393E-2</v>
      </c>
      <c r="AH15" s="68">
        <f>'Salernes Ext'!F43</f>
        <v>2.1356569280710745E-3</v>
      </c>
      <c r="AI15" s="68">
        <f>'Salernes Ext'!F44</f>
        <v>1.1959678797198018E-3</v>
      </c>
      <c r="AJ15" s="68">
        <f>'Salernes Ext'!F45</f>
        <v>1.3668204339654878E-3</v>
      </c>
      <c r="AK15" s="68">
        <f>'Salernes Ext'!F46</f>
        <v>1.1959678797198018E-3</v>
      </c>
      <c r="AL15" s="69">
        <f>'Salernes Ext'!F47</f>
        <v>1.6230992653340167E-3</v>
      </c>
      <c r="AM15" s="64">
        <f>'Salernes Ext'!F49</f>
        <v>2.3748505040150348E-2</v>
      </c>
      <c r="AN15" s="87"/>
    </row>
    <row r="16" spans="1:40" s="46" customFormat="1" ht="20.100000000000001" customHeight="1" thickBot="1" x14ac:dyDescent="0.25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10">
        <f>L15+M15+N15+O15+P15+Q15</f>
        <v>4.1175465573210321E-2</v>
      </c>
      <c r="M16" s="111"/>
      <c r="N16" s="111"/>
      <c r="O16" s="111"/>
      <c r="P16" s="111"/>
      <c r="Q16" s="112"/>
      <c r="R16" s="110">
        <f>R15+S15+T15+U15+V15+W15+X15+Y15+Z15+AA15+AB15+AC15+AD15</f>
        <v>0.90141807620023928</v>
      </c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2"/>
      <c r="AE16" s="110">
        <f>AE15+AF15+AG15+AH15+AI15+AJ15+AK15+AL15</f>
        <v>3.3657953186400136E-2</v>
      </c>
      <c r="AF16" s="111"/>
      <c r="AG16" s="111"/>
      <c r="AH16" s="111"/>
      <c r="AI16" s="111"/>
      <c r="AJ16" s="111"/>
      <c r="AK16" s="111"/>
      <c r="AL16" s="112"/>
      <c r="AM16" s="76">
        <f>+AM15</f>
        <v>2.3748505040150348E-2</v>
      </c>
      <c r="AN16" s="76">
        <f>AM16+AE16+R16+L16</f>
        <v>1</v>
      </c>
    </row>
    <row r="17" spans="1:40" s="46" customFormat="1" ht="20.100000000000001" customHeight="1" x14ac:dyDescent="0.2">
      <c r="A17" s="101" t="s">
        <v>70</v>
      </c>
      <c r="B17" s="41" t="s">
        <v>73</v>
      </c>
      <c r="C17" s="44">
        <v>43612</v>
      </c>
      <c r="D17" s="45" t="s">
        <v>129</v>
      </c>
      <c r="E17" s="45">
        <v>293311</v>
      </c>
      <c r="F17" s="45" t="s">
        <v>95</v>
      </c>
      <c r="G17" s="99">
        <v>6.02</v>
      </c>
      <c r="H17" s="45" t="s">
        <v>102</v>
      </c>
      <c r="I17" s="44">
        <v>43614</v>
      </c>
      <c r="J17" s="45">
        <v>2</v>
      </c>
      <c r="K17" s="57" t="s">
        <v>130</v>
      </c>
      <c r="L17" s="67">
        <f>Lorgues!F19</f>
        <v>0</v>
      </c>
      <c r="M17" s="68">
        <f>Lorgues!F20</f>
        <v>1.1152701393390633E-3</v>
      </c>
      <c r="N17" s="68">
        <f>Lorgues!F21</f>
        <v>0</v>
      </c>
      <c r="O17" s="68">
        <f>Lorgues!F22</f>
        <v>4.2519674062301786E-3</v>
      </c>
      <c r="P17" s="68">
        <f>Lorgues!F23</f>
        <v>4.147410830667142E-2</v>
      </c>
      <c r="Q17" s="69">
        <f>Lorgues!F24</f>
        <v>4.021942939991497E-2</v>
      </c>
      <c r="R17" s="67">
        <f>Lorgues!F26</f>
        <v>5.9248726152387734E-3</v>
      </c>
      <c r="S17" s="68">
        <f>Lorgues!F27</f>
        <v>3.7361549667858616E-2</v>
      </c>
      <c r="T17" s="68">
        <f>Lorgues!F28</f>
        <v>2.9833476227319945E-2</v>
      </c>
      <c r="U17" s="68">
        <f>Lorgues!F29</f>
        <v>6.238542341927885E-2</v>
      </c>
      <c r="V17" s="68">
        <f>Lorgues!F30</f>
        <v>6.3430989174909228E-3</v>
      </c>
      <c r="W17" s="68">
        <f>Lorgues!F31</f>
        <v>8.8385158542620759E-2</v>
      </c>
      <c r="X17" s="68">
        <f>Lorgues!F32</f>
        <v>5.7645525327087832E-2</v>
      </c>
      <c r="Y17" s="68">
        <f>Lorgues!F33</f>
        <v>2.2375107170489957E-2</v>
      </c>
      <c r="Z17" s="68">
        <f>Lorgues!F34</f>
        <v>7.9379352167457826E-2</v>
      </c>
      <c r="AA17" s="68">
        <f>Lorgues!F35</f>
        <v>0</v>
      </c>
      <c r="AB17" s="68">
        <f>Lorgues!F36</f>
        <v>8.2251172776255918E-2</v>
      </c>
      <c r="AC17" s="68">
        <f>Lorgues!F37</f>
        <v>8.9326167722688102E-2</v>
      </c>
      <c r="AD17" s="69">
        <f>Lorgues!F38</f>
        <v>0.23441584241232938</v>
      </c>
      <c r="AE17" s="67">
        <f>Lorgues!F40</f>
        <v>1.4637920578825206E-3</v>
      </c>
      <c r="AF17" s="68">
        <f>Lorgues!F41</f>
        <v>3.9034454876867219E-3</v>
      </c>
      <c r="AG17" s="68">
        <f>Lorgues!F42</f>
        <v>4.5307849410649451E-3</v>
      </c>
      <c r="AH17" s="68">
        <f>Lorgues!F43</f>
        <v>2.6487665809302756E-3</v>
      </c>
      <c r="AI17" s="68">
        <f>Lorgues!F44</f>
        <v>2.3699490460955099E-3</v>
      </c>
      <c r="AJ17" s="68">
        <f>Lorgues!F45</f>
        <v>0</v>
      </c>
      <c r="AK17" s="68">
        <f>Lorgues!F46</f>
        <v>3.1366972668911155E-3</v>
      </c>
      <c r="AL17" s="69">
        <f>Lorgues!F47</f>
        <v>1.951722743843361E-3</v>
      </c>
      <c r="AM17" s="64">
        <f>Lorgues!F49</f>
        <v>9.7307319657333274E-2</v>
      </c>
      <c r="AN17" s="87"/>
    </row>
    <row r="18" spans="1:40" s="46" customFormat="1" ht="20.100000000000001" customHeight="1" thickBot="1" x14ac:dyDescent="0.25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13">
        <f>L17+M17+N17+O17+P17+Q17</f>
        <v>8.7060775252155637E-2</v>
      </c>
      <c r="M18" s="114"/>
      <c r="N18" s="114"/>
      <c r="O18" s="114"/>
      <c r="P18" s="114"/>
      <c r="Q18" s="115"/>
      <c r="R18" s="113">
        <f>R17+S17+T17+U17+V17+W17+X17+Y17+Z17+AA17+AB17+AC17+AD17</f>
        <v>0.7956267469661169</v>
      </c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5"/>
      <c r="AE18" s="110">
        <f>AE17+AF17+AG17+AH17+AI17+AJ17+AK17+AL17</f>
        <v>2.0005158124394448E-2</v>
      </c>
      <c r="AF18" s="111"/>
      <c r="AG18" s="111"/>
      <c r="AH18" s="111"/>
      <c r="AI18" s="111"/>
      <c r="AJ18" s="111"/>
      <c r="AK18" s="111"/>
      <c r="AL18" s="112"/>
      <c r="AM18" s="76">
        <f>AM17</f>
        <v>9.7307319657333274E-2</v>
      </c>
      <c r="AN18" s="76">
        <f>AM18+AE18+L18+R18</f>
        <v>1.0000000000000002</v>
      </c>
    </row>
    <row r="19" spans="1:40" s="46" customFormat="1" ht="20.100000000000001" customHeight="1" x14ac:dyDescent="0.2">
      <c r="A19" s="102" t="s">
        <v>132</v>
      </c>
      <c r="B19" s="41" t="s">
        <v>73</v>
      </c>
      <c r="C19" s="44">
        <v>43613</v>
      </c>
      <c r="D19" s="45" t="s">
        <v>135</v>
      </c>
      <c r="E19" s="45">
        <v>293459</v>
      </c>
      <c r="F19" s="45" t="s">
        <v>142</v>
      </c>
      <c r="G19" s="45">
        <v>2.76</v>
      </c>
      <c r="H19" s="45" t="s">
        <v>102</v>
      </c>
      <c r="I19" s="44">
        <v>43615</v>
      </c>
      <c r="J19" s="45">
        <v>2</v>
      </c>
      <c r="K19" s="57" t="s">
        <v>136</v>
      </c>
      <c r="L19" s="67">
        <f>Flayosc!F19</f>
        <v>0</v>
      </c>
      <c r="M19" s="68">
        <f>Flayosc!F20</f>
        <v>0</v>
      </c>
      <c r="N19" s="68">
        <f>Flayosc!F21</f>
        <v>5.5999341184221367E-3</v>
      </c>
      <c r="O19" s="68">
        <f>Flayosc!F22</f>
        <v>1.7046858272255619E-2</v>
      </c>
      <c r="P19" s="68">
        <f>Flayosc!F23</f>
        <v>4.1175986164868643E-3</v>
      </c>
      <c r="Q19" s="82">
        <f>Flayosc!F24</f>
        <v>2.1823272667380381E-2</v>
      </c>
      <c r="R19" s="67">
        <f>Flayosc!F26</f>
        <v>3.4587828378489661E-3</v>
      </c>
      <c r="S19" s="68">
        <f>Flayosc!F27</f>
        <v>9.5528287902495276E-2</v>
      </c>
      <c r="T19" s="68">
        <f>Flayosc!F28</f>
        <v>1.9270361525158524E-2</v>
      </c>
      <c r="U19" s="68">
        <f>Flayosc!F29</f>
        <v>6.1599275302643489E-2</v>
      </c>
      <c r="V19" s="68">
        <f>Flayosc!F30</f>
        <v>2.0587993082434321E-3</v>
      </c>
      <c r="W19" s="68">
        <f>Flayosc!F31</f>
        <v>0.1013752779379066</v>
      </c>
      <c r="X19" s="68">
        <f>Flayosc!F32</f>
        <v>1.8117433912542207E-2</v>
      </c>
      <c r="Y19" s="68">
        <f>Flayosc!F33</f>
        <v>1.8776249691180101E-2</v>
      </c>
      <c r="Z19" s="68">
        <f>Flayosc!F34</f>
        <v>0.17845672403854074</v>
      </c>
      <c r="AA19" s="68">
        <f>Flayosc!F35</f>
        <v>2.9646710038705424E-2</v>
      </c>
      <c r="AB19" s="68">
        <f>Flayosc!F36</f>
        <v>6.7199209421065637E-2</v>
      </c>
      <c r="AC19" s="68">
        <f>Flayosc!F37</f>
        <v>5.6822860907518737E-2</v>
      </c>
      <c r="AD19" s="69">
        <f>Flayosc!F38</f>
        <v>0.15037470147410031</v>
      </c>
      <c r="AE19" s="67">
        <f>Flayosc!F40</f>
        <v>4.9411183397842374E-4</v>
      </c>
      <c r="AF19" s="68">
        <f>Flayosc!F41</f>
        <v>5.5175821460923986E-3</v>
      </c>
      <c r="AG19" s="68">
        <f>Flayosc!F42</f>
        <v>4.9411183397842374E-4</v>
      </c>
      <c r="AH19" s="68">
        <f>Flayosc!F43</f>
        <v>2.6352631145515936E-3</v>
      </c>
      <c r="AI19" s="68">
        <f>Flayosc!F44</f>
        <v>1.3999835296055342E-3</v>
      </c>
      <c r="AJ19" s="68">
        <f>Flayosc!F45</f>
        <v>1.0705756402865849E-3</v>
      </c>
      <c r="AK19" s="68">
        <f>Flayosc!F46</f>
        <v>1.4823355019352711E-3</v>
      </c>
      <c r="AL19" s="69">
        <f>Flayosc!F47</f>
        <v>1.6470394465947459E-3</v>
      </c>
      <c r="AM19" s="64">
        <f>Flayosc!F49</f>
        <v>0.13398665898048256</v>
      </c>
      <c r="AN19" s="87"/>
    </row>
    <row r="20" spans="1:40" s="46" customFormat="1" ht="20.100000000000001" customHeight="1" thickBot="1" x14ac:dyDescent="0.25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10">
        <f>L19+M19+N19+O19+P19+Q19</f>
        <v>4.8587663674545006E-2</v>
      </c>
      <c r="M20" s="111"/>
      <c r="N20" s="111"/>
      <c r="O20" s="111"/>
      <c r="P20" s="111"/>
      <c r="Q20" s="111"/>
      <c r="R20" s="110">
        <f>R19+S19+T19+U19+V19+W19+X19+Y19+Z19+AA19+AB19+AC19+AD19</f>
        <v>0.80268467429794943</v>
      </c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2"/>
      <c r="AE20" s="110">
        <f>AE19+AF19+AG19+AH19+AI19+AJ19+AK19+AL19</f>
        <v>1.4741003047022975E-2</v>
      </c>
      <c r="AF20" s="111"/>
      <c r="AG20" s="111"/>
      <c r="AH20" s="111"/>
      <c r="AI20" s="111"/>
      <c r="AJ20" s="111"/>
      <c r="AK20" s="111"/>
      <c r="AL20" s="112"/>
      <c r="AM20" s="81">
        <f>AM19</f>
        <v>0.13398665898048256</v>
      </c>
      <c r="AN20" s="76">
        <f>AM20+AE20+R20+L20</f>
        <v>1</v>
      </c>
    </row>
    <row r="21" spans="1:40" s="46" customFormat="1" ht="20.100000000000001" customHeight="1" x14ac:dyDescent="0.2">
      <c r="A21" s="103" t="s">
        <v>67</v>
      </c>
      <c r="B21" s="41" t="s">
        <v>81</v>
      </c>
      <c r="C21" s="44">
        <v>43614</v>
      </c>
      <c r="D21" s="45" t="s">
        <v>141</v>
      </c>
      <c r="E21" s="45">
        <v>293613</v>
      </c>
      <c r="F21" s="45" t="s">
        <v>93</v>
      </c>
      <c r="G21" s="45">
        <v>2.52</v>
      </c>
      <c r="H21" s="45" t="s">
        <v>102</v>
      </c>
      <c r="I21" s="44">
        <v>43615</v>
      </c>
      <c r="J21" s="45">
        <v>2</v>
      </c>
      <c r="K21" s="57" t="s">
        <v>143</v>
      </c>
      <c r="L21" s="67">
        <f>'Draguignan Rouge A1'!F19</f>
        <v>0</v>
      </c>
      <c r="M21" s="68">
        <f>'Draguignan Rouge A1'!F20</f>
        <v>1.1689204675681871E-2</v>
      </c>
      <c r="N21" s="68">
        <f>'Draguignan Rouge A1'!F21</f>
        <v>0</v>
      </c>
      <c r="O21" s="68">
        <f>'Draguignan Rouge A1'!F22</f>
        <v>1.8412407364962947E-2</v>
      </c>
      <c r="P21" s="68">
        <f>'Draguignan Rouge A1'!F23</f>
        <v>0</v>
      </c>
      <c r="Q21" s="82">
        <f>'Draguignan Rouge A1'!F24</f>
        <v>3.613721445488579E-2</v>
      </c>
      <c r="R21" s="67">
        <f>'Draguignan Rouge A1'!F26</f>
        <v>7.0288028115211244E-3</v>
      </c>
      <c r="S21" s="68">
        <f>'Draguignan Rouge A1'!F27</f>
        <v>2.1468408587363437E-2</v>
      </c>
      <c r="T21" s="68">
        <f>'Draguignan Rouge A1'!F28</f>
        <v>3.9346015738406299E-2</v>
      </c>
      <c r="U21" s="68">
        <f>'Draguignan Rouge A1'!F29</f>
        <v>4.9125219650087863E-2</v>
      </c>
      <c r="V21" s="68">
        <f>'Draguignan Rouge A1'!F30</f>
        <v>6.0356024142409663E-3</v>
      </c>
      <c r="W21" s="68">
        <f>'Draguignan Rouge A1'!F31</f>
        <v>7.7393230957292392E-2</v>
      </c>
      <c r="X21" s="68">
        <f>'Draguignan Rouge A1'!F32</f>
        <v>8.1289632515853E-2</v>
      </c>
      <c r="Y21" s="68">
        <f>'Draguignan Rouge A1'!F33</f>
        <v>4.1943616777446714E-2</v>
      </c>
      <c r="Z21" s="68">
        <f>'Draguignan Rouge A1'!F34</f>
        <v>0.19902207960883186</v>
      </c>
      <c r="AA21" s="68">
        <f>'Draguignan Rouge A1'!F35</f>
        <v>1.2224004889601958E-2</v>
      </c>
      <c r="AB21" s="68">
        <f>'Draguignan Rouge A1'!F36</f>
        <v>5.539002215600887E-2</v>
      </c>
      <c r="AC21" s="68">
        <f>'Draguignan Rouge A1'!F37</f>
        <v>5.7834823133929264E-2</v>
      </c>
      <c r="AD21" s="69">
        <f>'Draguignan Rouge A1'!F38</f>
        <v>0.19795247918099168</v>
      </c>
      <c r="AE21" s="67">
        <f>'Draguignan Rouge A1'!F40</f>
        <v>1.0696004278401713E-3</v>
      </c>
      <c r="AF21" s="68">
        <f>'Draguignan Rouge A1'!F41</f>
        <v>2.9032011612804649E-3</v>
      </c>
      <c r="AG21" s="68">
        <f>'Draguignan Rouge A1'!F42</f>
        <v>6.1120024448009784E-4</v>
      </c>
      <c r="AH21" s="68">
        <f>'Draguignan Rouge A1'!F43</f>
        <v>1.0696004278401713E-3</v>
      </c>
      <c r="AI21" s="68">
        <f>'Draguignan Rouge A1'!F44</f>
        <v>3.0560012224004892E-4</v>
      </c>
      <c r="AJ21" s="68">
        <f>'Draguignan Rouge A1'!F45</f>
        <v>0</v>
      </c>
      <c r="AK21" s="68">
        <f>'Draguignan Rouge A1'!F46</f>
        <v>5.3480021392008563E-4</v>
      </c>
      <c r="AL21" s="69">
        <f>'Draguignan Rouge A1'!F47</f>
        <v>3.8200015280006119E-4</v>
      </c>
      <c r="AM21" s="64">
        <f>'Draguignan Rouge A1'!F49</f>
        <v>8.0831232332492939E-2</v>
      </c>
      <c r="AN21" s="87"/>
    </row>
    <row r="22" spans="1:40" s="46" customFormat="1" ht="20.100000000000001" customHeight="1" thickBot="1" x14ac:dyDescent="0.25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10">
        <f>L21+M21+N21+O21+P21+Q21</f>
        <v>6.6238826495530617E-2</v>
      </c>
      <c r="M22" s="111"/>
      <c r="N22" s="111"/>
      <c r="O22" s="111"/>
      <c r="P22" s="111"/>
      <c r="Q22" s="111"/>
      <c r="R22" s="110">
        <f>R21+S21+T21+U21+V21+W21+X21+Y21+Z21+AA21+AB21+AC21+AD21</f>
        <v>0.8460539384215755</v>
      </c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2"/>
      <c r="AE22" s="110">
        <f>AE21+AF21+AG21+AH21+AI21+AJ21+AK21+AL21</f>
        <v>6.8760027504011006E-3</v>
      </c>
      <c r="AF22" s="111"/>
      <c r="AG22" s="111"/>
      <c r="AH22" s="111"/>
      <c r="AI22" s="111"/>
      <c r="AJ22" s="111"/>
      <c r="AK22" s="111"/>
      <c r="AL22" s="112"/>
      <c r="AM22" s="76">
        <f>AM21</f>
        <v>8.0831232332492939E-2</v>
      </c>
      <c r="AN22" s="76">
        <f>AM22+AE22+R22+L22</f>
        <v>1.0000000000000002</v>
      </c>
    </row>
    <row r="23" spans="1:40" s="46" customFormat="1" ht="20.100000000000001" customHeight="1" x14ac:dyDescent="0.2">
      <c r="A23" s="104" t="s">
        <v>145</v>
      </c>
      <c r="B23" s="41" t="s">
        <v>73</v>
      </c>
      <c r="C23" s="44">
        <v>43615</v>
      </c>
      <c r="D23" s="45" t="s">
        <v>146</v>
      </c>
      <c r="E23" s="45">
        <v>293688</v>
      </c>
      <c r="F23" s="45" t="s">
        <v>127</v>
      </c>
      <c r="G23" s="45">
        <v>7.4</v>
      </c>
      <c r="H23" s="45" t="s">
        <v>102</v>
      </c>
      <c r="I23" s="44">
        <v>43616</v>
      </c>
      <c r="J23" s="45">
        <v>2</v>
      </c>
      <c r="K23" s="57" t="s">
        <v>147</v>
      </c>
      <c r="L23" s="67">
        <f>Vidauban!F19</f>
        <v>0</v>
      </c>
      <c r="M23" s="68">
        <f>Vidauban!F20</f>
        <v>0</v>
      </c>
      <c r="N23" s="68">
        <f>Vidauban!F21</f>
        <v>0</v>
      </c>
      <c r="O23" s="68">
        <f>Vidauban!F22</f>
        <v>0</v>
      </c>
      <c r="P23" s="68">
        <f>Vidauban!F23</f>
        <v>0</v>
      </c>
      <c r="Q23" s="82">
        <f>Vidauban!F24</f>
        <v>6.6893636125556516E-2</v>
      </c>
      <c r="R23" s="67">
        <f>Vidauban!F26</f>
        <v>0</v>
      </c>
      <c r="S23" s="68">
        <f>Vidauban!F27</f>
        <v>6.6369860451195334E-2</v>
      </c>
      <c r="T23" s="68">
        <f>Vidauban!F28</f>
        <v>3.7861498746679628E-2</v>
      </c>
      <c r="U23" s="68">
        <f>Vidauban!F29</f>
        <v>5.4173369748213539E-2</v>
      </c>
      <c r="V23" s="68">
        <f>Vidauban!F30</f>
        <v>4.713981069250626E-3</v>
      </c>
      <c r="W23" s="68">
        <f>Vidauban!F31</f>
        <v>0.14733061468816641</v>
      </c>
      <c r="X23" s="68">
        <f>Vidauban!F32</f>
        <v>1.2121665606644469E-2</v>
      </c>
      <c r="Y23" s="68">
        <f>Vidauban!F33</f>
        <v>2.4916757080324741E-2</v>
      </c>
      <c r="Z23" s="68">
        <f>Vidauban!F34</f>
        <v>0.2142242508137229</v>
      </c>
      <c r="AA23" s="68">
        <f>Vidauban!F35</f>
        <v>8.7545362714654476E-3</v>
      </c>
      <c r="AB23" s="68">
        <f>Vidauban!F36</f>
        <v>6.7641887088929611E-2</v>
      </c>
      <c r="AC23" s="68">
        <f>Vidauban!F37</f>
        <v>3.1202065172658906E-2</v>
      </c>
      <c r="AD23" s="69">
        <f>Vidauban!F38</f>
        <v>0.17946799356504167</v>
      </c>
      <c r="AE23" s="67">
        <f>Vidauban!F40</f>
        <v>8.9790115604773831E-4</v>
      </c>
      <c r="AF23" s="68">
        <f>Vidauban!F41</f>
        <v>6.2104829959968568E-3</v>
      </c>
      <c r="AG23" s="68">
        <f>Vidauban!F42</f>
        <v>1.0176213101874368E-2</v>
      </c>
      <c r="AH23" s="68">
        <f>Vidauban!F43</f>
        <v>4.0405552022148225E-3</v>
      </c>
      <c r="AI23" s="68">
        <f>Vidauban!F44</f>
        <v>1.0475513487223614E-3</v>
      </c>
      <c r="AJ23" s="68">
        <f>Vidauban!F45</f>
        <v>0</v>
      </c>
      <c r="AK23" s="68">
        <f>Vidauban!F46</f>
        <v>2.1699277937820343E-3</v>
      </c>
      <c r="AL23" s="69">
        <f>Vidauban!F47</f>
        <v>2.0202776011074113E-3</v>
      </c>
      <c r="AM23" s="64">
        <f>Vidauban!F49</f>
        <v>5.77649743724045E-2</v>
      </c>
      <c r="AN23" s="87"/>
    </row>
    <row r="24" spans="1:40" s="46" customFormat="1" ht="20.100000000000001" customHeight="1" thickBot="1" x14ac:dyDescent="0.25">
      <c r="A24" s="108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13">
        <f>L23+M23+N23+O23+P23+Q23</f>
        <v>6.6893636125556516E-2</v>
      </c>
      <c r="M24" s="114"/>
      <c r="N24" s="114"/>
      <c r="O24" s="114"/>
      <c r="P24" s="114"/>
      <c r="Q24" s="114"/>
      <c r="R24" s="110">
        <f>R23+S23+T23+U23+V23+W23+X23+Y23+Z23+AA23+AB23+AC23+AD23</f>
        <v>0.8487784803022933</v>
      </c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2"/>
      <c r="AE24" s="113">
        <f>AE23+AF23+AG23+AH23+AI23+AJ23+AK23+AL23</f>
        <v>2.6562909199745594E-2</v>
      </c>
      <c r="AF24" s="114"/>
      <c r="AG24" s="114"/>
      <c r="AH24" s="114"/>
      <c r="AI24" s="114"/>
      <c r="AJ24" s="114"/>
      <c r="AK24" s="114"/>
      <c r="AL24" s="115"/>
      <c r="AM24" s="66">
        <f>AM23</f>
        <v>5.77649743724045E-2</v>
      </c>
      <c r="AN24" s="76">
        <f>AM24+AE24+R24+L24</f>
        <v>1</v>
      </c>
    </row>
    <row r="25" spans="1:40" ht="24.95" customHeight="1" thickBot="1" x14ac:dyDescent="0.25">
      <c r="A25" s="105" t="s">
        <v>83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7"/>
      <c r="L25" s="83" t="e">
        <f>(L7+L9+L11+L13+L15+L17+L19+L21+L23+#REF!)/10</f>
        <v>#REF!</v>
      </c>
      <c r="M25" s="83" t="e">
        <f>(M7+M9+M11+M13+M15+M17+M19+M21+M23+#REF!)/10</f>
        <v>#REF!</v>
      </c>
      <c r="N25" s="83" t="e">
        <f>(N7+N9+N11+N13+N15+N17+N19+N21+N23+#REF!)/10</f>
        <v>#REF!</v>
      </c>
      <c r="O25" s="83" t="e">
        <f>(O7+O9+O11+O13+O15+O17+O19+O21+O23+#REF!)/10</f>
        <v>#REF!</v>
      </c>
      <c r="P25" s="83" t="e">
        <f>(P7+P9+P11+P13+P15+P17+P19+P21+P23+#REF!)/10</f>
        <v>#REF!</v>
      </c>
      <c r="Q25" s="83" t="e">
        <f>(Q7+Q9+Q11+Q13+Q15+Q17+Q19+Q21+Q23+#REF!)/10</f>
        <v>#REF!</v>
      </c>
      <c r="R25" s="83" t="e">
        <f>(R7+R9+R11+R13+R15+R17+R19+R21+R23+#REF!)/10</f>
        <v>#REF!</v>
      </c>
      <c r="S25" s="83" t="e">
        <f>(S7+S9+S11+S13+S15+S17+S19+S21+S23+#REF!)/10</f>
        <v>#REF!</v>
      </c>
      <c r="T25" s="83" t="e">
        <f>(T7+T9+T11+T13+T15+T17+T19+T21+T23+#REF!)/10</f>
        <v>#REF!</v>
      </c>
      <c r="U25" s="83" t="e">
        <f>(U7+U9+U11+U13+U15+U17+U19+U21+U23+#REF!)/10</f>
        <v>#REF!</v>
      </c>
      <c r="V25" s="83" t="e">
        <f>(V7+V9+V11+V13+V15+V17+V19+V21+V23+#REF!)/10</f>
        <v>#REF!</v>
      </c>
      <c r="W25" s="83" t="e">
        <f>(W7+W9+W11+W13+W15+W17+W19+W21+W23+#REF!)/10</f>
        <v>#REF!</v>
      </c>
      <c r="X25" s="83" t="e">
        <f>(X7+X9+X11+X13+X15+X17+X19+X21+X23+#REF!)/10</f>
        <v>#REF!</v>
      </c>
      <c r="Y25" s="83" t="e">
        <f>(Y7+Y9+Y11+Y13+Y15+Y17+Y19+Y21+Y23+#REF!)/10</f>
        <v>#REF!</v>
      </c>
      <c r="Z25" s="83" t="e">
        <f>(Z7+Z9+Z11+Z13+Z15+Z17+Z19+Z21+Z23+#REF!)/10</f>
        <v>#REF!</v>
      </c>
      <c r="AA25" s="83" t="e">
        <f>(AA7+AA9+AA11+AA13+AA15+AA17+AA19+AA21+AA23+#REF!)/10</f>
        <v>#REF!</v>
      </c>
      <c r="AB25" s="83" t="e">
        <f>(AB7+AB9+AB11+AB13+AB15+AB17+AB19+AB21+AB23+#REF!)/10</f>
        <v>#REF!</v>
      </c>
      <c r="AC25" s="83" t="e">
        <f>(AC7+AC9+AC11+AC13+AC15+AC17+AC19+AC21+AC23+#REF!)/10</f>
        <v>#REF!</v>
      </c>
      <c r="AD25" s="83" t="e">
        <f>(AD7+AD9+AD11+AD13+AD15+AD17+AD19+AD21+AD23+#REF!)/10</f>
        <v>#REF!</v>
      </c>
      <c r="AE25" s="83" t="e">
        <f>(AE7+AE9+AE11+AE13+AE15+AE17+AE19+AE21+AE23+#REF!)/10</f>
        <v>#REF!</v>
      </c>
      <c r="AF25" s="83" t="e">
        <f>(AF7+AF9+AF11+AF13+AF15+AF17+AF19+AF21+AF23+#REF!)/10</f>
        <v>#REF!</v>
      </c>
      <c r="AG25" s="83" t="e">
        <f>(AG7+AG9+AG11+AG13+AG15+AG17+AG19+AG21+AG23+#REF!)/10</f>
        <v>#REF!</v>
      </c>
      <c r="AH25" s="83" t="e">
        <f>(AH7+AH9+AH11+AH13+AH15+AH17+AH19+AH21+AH23+#REF!)/10</f>
        <v>#REF!</v>
      </c>
      <c r="AI25" s="83" t="e">
        <f>(AI7+AI9+AI11+AI13+AI15+AI17+AI19+AI21+AI23+#REF!)/10</f>
        <v>#REF!</v>
      </c>
      <c r="AJ25" s="83" t="e">
        <f>(AJ7+AJ9+AJ11+AJ13+AJ15+AJ17+AJ19+AJ21+AJ23+#REF!)/10</f>
        <v>#REF!</v>
      </c>
      <c r="AK25" s="83" t="e">
        <f>(AK7+AK9+AK11+AK13+AK15+AK17+AK19+AK21+AK23+#REF!)/10</f>
        <v>#REF!</v>
      </c>
      <c r="AL25" s="83" t="e">
        <f>(AL7+AL9+AL11+AL13+AL15+AL17+AL19+AL21+AL23+#REF!)/10</f>
        <v>#REF!</v>
      </c>
      <c r="AM25" s="83" t="e">
        <f>(AM7+AM9+AM11+AM13+AM15+AM17+AM19+AM21+AM23+#REF!)/10</f>
        <v>#REF!</v>
      </c>
      <c r="AN25" s="83" t="e">
        <f>SUM(L25:AM25)</f>
        <v>#REF!</v>
      </c>
    </row>
    <row r="29" spans="1:40" x14ac:dyDescent="0.2">
      <c r="L29" s="62"/>
    </row>
  </sheetData>
  <mergeCells count="43">
    <mergeCell ref="AF1:AN1"/>
    <mergeCell ref="K1:AE1"/>
    <mergeCell ref="A1:J1"/>
    <mergeCell ref="A20:K20"/>
    <mergeCell ref="A22:K22"/>
    <mergeCell ref="A8:K8"/>
    <mergeCell ref="R8:AD8"/>
    <mergeCell ref="AE8:AL8"/>
    <mergeCell ref="A10:K10"/>
    <mergeCell ref="L10:Q10"/>
    <mergeCell ref="R10:AD10"/>
    <mergeCell ref="AE10:AL10"/>
    <mergeCell ref="L5:Q5"/>
    <mergeCell ref="L8:Q8"/>
    <mergeCell ref="AE5:AL5"/>
    <mergeCell ref="R5:AD5"/>
    <mergeCell ref="A24:K24"/>
    <mergeCell ref="AE14:AL14"/>
    <mergeCell ref="AE16:AL16"/>
    <mergeCell ref="AE18:AL18"/>
    <mergeCell ref="A12:K12"/>
    <mergeCell ref="L12:Q12"/>
    <mergeCell ref="R12:AD12"/>
    <mergeCell ref="AE12:AL12"/>
    <mergeCell ref="AE20:AL20"/>
    <mergeCell ref="AE22:AL22"/>
    <mergeCell ref="AE24:AL24"/>
    <mergeCell ref="A25:K25"/>
    <mergeCell ref="A16:K16"/>
    <mergeCell ref="A18:K18"/>
    <mergeCell ref="L14:Q14"/>
    <mergeCell ref="R14:AD14"/>
    <mergeCell ref="R16:AD16"/>
    <mergeCell ref="L16:Q16"/>
    <mergeCell ref="L18:Q18"/>
    <mergeCell ref="R18:AD18"/>
    <mergeCell ref="A14:K14"/>
    <mergeCell ref="L20:Q20"/>
    <mergeCell ref="L22:Q22"/>
    <mergeCell ref="L24:Q24"/>
    <mergeCell ref="R24:AD24"/>
    <mergeCell ref="R22:AD22"/>
    <mergeCell ref="R20:AD20"/>
  </mergeCells>
  <pageMargins left="0.70866141732283472" right="0.70866141732283472" top="0.74803149606299213" bottom="0.74803149606299213" header="0.31496062992125984" footer="0.31496062992125984"/>
  <pageSetup paperSize="8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"/>
  <sheetViews>
    <sheetView zoomScaleNormal="100" workbookViewId="0">
      <selection activeCell="G20" sqref="G20"/>
    </sheetView>
  </sheetViews>
  <sheetFormatPr baseColWidth="10" defaultRowHeight="12.75" x14ac:dyDescent="0.2"/>
  <cols>
    <col min="1" max="1" width="19" bestFit="1" customWidth="1"/>
    <col min="2" max="2" width="11.42578125" customWidth="1"/>
    <col min="12" max="12" width="12" customWidth="1"/>
    <col min="13" max="13" width="12.5703125" customWidth="1"/>
    <col min="17" max="17" width="11.28515625" bestFit="1" customWidth="1"/>
  </cols>
  <sheetData>
    <row r="1" spans="1:18" x14ac:dyDescent="0.2">
      <c r="A1" s="132"/>
      <c r="B1" s="133"/>
      <c r="C1" s="133"/>
      <c r="D1" s="133"/>
      <c r="E1" s="133"/>
      <c r="F1" s="134"/>
      <c r="G1" s="141" t="s">
        <v>88</v>
      </c>
      <c r="H1" s="142"/>
      <c r="I1" s="142"/>
      <c r="J1" s="142"/>
      <c r="K1" s="142"/>
      <c r="L1" s="142"/>
      <c r="M1" s="142"/>
      <c r="N1" s="143"/>
      <c r="O1" s="141" t="s">
        <v>87</v>
      </c>
      <c r="P1" s="142"/>
      <c r="Q1" s="142"/>
      <c r="R1" s="143"/>
    </row>
    <row r="2" spans="1:18" x14ac:dyDescent="0.2">
      <c r="A2" s="135"/>
      <c r="B2" s="136"/>
      <c r="C2" s="136"/>
      <c r="D2" s="136"/>
      <c r="E2" s="136"/>
      <c r="F2" s="137"/>
      <c r="G2" s="144"/>
      <c r="H2" s="145"/>
      <c r="I2" s="145"/>
      <c r="J2" s="145"/>
      <c r="K2" s="145"/>
      <c r="L2" s="145"/>
      <c r="M2" s="145"/>
      <c r="N2" s="146"/>
      <c r="O2" s="144"/>
      <c r="P2" s="145"/>
      <c r="Q2" s="145"/>
      <c r="R2" s="146"/>
    </row>
    <row r="3" spans="1:18" x14ac:dyDescent="0.2">
      <c r="A3" s="135"/>
      <c r="B3" s="136"/>
      <c r="C3" s="136"/>
      <c r="D3" s="136"/>
      <c r="E3" s="136"/>
      <c r="F3" s="137"/>
      <c r="G3" s="144"/>
      <c r="H3" s="145"/>
      <c r="I3" s="145"/>
      <c r="J3" s="145"/>
      <c r="K3" s="145"/>
      <c r="L3" s="145"/>
      <c r="M3" s="145"/>
      <c r="N3" s="146"/>
      <c r="O3" s="144"/>
      <c r="P3" s="145"/>
      <c r="Q3" s="145"/>
      <c r="R3" s="146"/>
    </row>
    <row r="4" spans="1:18" x14ac:dyDescent="0.2">
      <c r="A4" s="135"/>
      <c r="B4" s="136"/>
      <c r="C4" s="136"/>
      <c r="D4" s="136"/>
      <c r="E4" s="136"/>
      <c r="F4" s="137"/>
      <c r="G4" s="144"/>
      <c r="H4" s="145"/>
      <c r="I4" s="145"/>
      <c r="J4" s="145"/>
      <c r="K4" s="145"/>
      <c r="L4" s="145"/>
      <c r="M4" s="145"/>
      <c r="N4" s="146"/>
      <c r="O4" s="144"/>
      <c r="P4" s="145"/>
      <c r="Q4" s="145"/>
      <c r="R4" s="146"/>
    </row>
    <row r="5" spans="1:18" ht="13.5" thickBot="1" x14ac:dyDescent="0.25">
      <c r="A5" s="138"/>
      <c r="B5" s="139"/>
      <c r="C5" s="139"/>
      <c r="D5" s="139"/>
      <c r="E5" s="139"/>
      <c r="F5" s="140"/>
      <c r="G5" s="147"/>
      <c r="H5" s="148"/>
      <c r="I5" s="148"/>
      <c r="J5" s="148"/>
      <c r="K5" s="148"/>
      <c r="L5" s="148"/>
      <c r="M5" s="148"/>
      <c r="N5" s="149"/>
      <c r="O5" s="147"/>
      <c r="P5" s="148"/>
      <c r="Q5" s="148"/>
      <c r="R5" s="149"/>
    </row>
    <row r="9" spans="1:18" ht="51.75" thickBot="1" x14ac:dyDescent="0.25">
      <c r="A9" s="91" t="s">
        <v>72</v>
      </c>
      <c r="B9" s="91" t="s">
        <v>48</v>
      </c>
      <c r="C9" s="92" t="s">
        <v>37</v>
      </c>
      <c r="D9" s="92" t="s">
        <v>24</v>
      </c>
      <c r="E9" s="92" t="s">
        <v>43</v>
      </c>
      <c r="F9" s="92" t="s">
        <v>78</v>
      </c>
      <c r="G9" s="92" t="s">
        <v>20</v>
      </c>
      <c r="H9" s="92" t="s">
        <v>21</v>
      </c>
      <c r="I9" s="92" t="s">
        <v>39</v>
      </c>
      <c r="J9" s="92" t="s">
        <v>90</v>
      </c>
      <c r="K9" s="92" t="s">
        <v>89</v>
      </c>
      <c r="L9" s="93" t="s">
        <v>60</v>
      </c>
      <c r="M9" s="94" t="s">
        <v>61</v>
      </c>
      <c r="N9" s="94" t="s">
        <v>62</v>
      </c>
      <c r="O9" s="94" t="s">
        <v>63</v>
      </c>
      <c r="P9" s="92" t="s">
        <v>41</v>
      </c>
      <c r="Q9" s="92" t="s">
        <v>65</v>
      </c>
      <c r="R9" s="92" t="s">
        <v>68</v>
      </c>
    </row>
    <row r="10" spans="1:18" s="60" customFormat="1" ht="24.95" customHeight="1" x14ac:dyDescent="0.2">
      <c r="A10" s="63" t="s">
        <v>104</v>
      </c>
      <c r="B10" s="75" t="s">
        <v>73</v>
      </c>
      <c r="C10" s="67">
        <f>'Tabelau Fraction'!Q7</f>
        <v>4.4123031856462838E-2</v>
      </c>
      <c r="D10" s="68">
        <f>'Tabelau Fraction'!AJ7+'Tabelau Fraction'!R7+'Tabelau Fraction'!L7</f>
        <v>6.4994507506407912E-3</v>
      </c>
      <c r="E10" s="68">
        <f>'Tabelau Fraction'!S7+'Tabelau Fraction'!AI7</f>
        <v>4.9523983888685466E-2</v>
      </c>
      <c r="F10" s="68">
        <f>'Tabelau Fraction'!M7+'Tabelau Fraction'!T7</f>
        <v>7.6437202489930439E-2</v>
      </c>
      <c r="G10" s="68">
        <f>'Tabelau Fraction'!N7+'Tabelau Fraction'!U7+'Tabelau Fraction'!AL7</f>
        <v>6.1424386671548883E-2</v>
      </c>
      <c r="H10" s="68">
        <f>'Tabelau Fraction'!O7+'Tabelau Fraction'!V7</f>
        <v>6.3163676309044309E-3</v>
      </c>
      <c r="I10" s="68">
        <f>'Tabelau Fraction'!W7+'Tabelau Fraction'!AK7</f>
        <v>0.12303185646283414</v>
      </c>
      <c r="J10" s="68">
        <f>'Tabelau Fraction'!X7</f>
        <v>9.9780300256316359E-2</v>
      </c>
      <c r="K10" s="68">
        <f>'Tabelau Fraction'!P7+'Tabelau Fraction'!Y7+'Tabelau Fraction'!AE7</f>
        <v>3.1948004393994874E-2</v>
      </c>
      <c r="L10" s="68">
        <f>'Tabelau Fraction'!Z7+'Tabelau Fraction'!AF7</f>
        <v>0.10280117173196632</v>
      </c>
      <c r="M10" s="68">
        <f>'Tabelau Fraction'!AA7</f>
        <v>5.4924935920908089E-3</v>
      </c>
      <c r="N10" s="68">
        <f>'Tabelau Fraction'!AB7+'Tabelau Fraction'!AG7</f>
        <v>0.12422189674112047</v>
      </c>
      <c r="O10" s="68">
        <f>'Tabelau Fraction'!AC7+'Tabelau Fraction'!AH7</f>
        <v>5.1812522885389962E-2</v>
      </c>
      <c r="P10" s="68">
        <f>'Tabelau Fraction'!AD7</f>
        <v>0.16395093372391067</v>
      </c>
      <c r="Q10" s="69">
        <f>'Tabelau Fraction'!AM7</f>
        <v>5.2636396924203591E-2</v>
      </c>
      <c r="R10" s="64">
        <f>Q10+P10+O10+N10+M10+L10+K10+J10+I10+H10+G10+F10+E10+D10+C10</f>
        <v>1.0000000000000002</v>
      </c>
    </row>
    <row r="11" spans="1:18" s="60" customFormat="1" ht="24.95" customHeight="1" x14ac:dyDescent="0.2">
      <c r="A11" s="63" t="s">
        <v>67</v>
      </c>
      <c r="B11" s="75" t="s">
        <v>108</v>
      </c>
      <c r="C11" s="70">
        <f>'Tabelau Fraction'!Q9</f>
        <v>8.5542784851013451E-2</v>
      </c>
      <c r="D11" s="61">
        <f>'Tabelau Fraction'!AJ9+'Tabelau Fraction'!R9+'Tabelau Fraction'!L9</f>
        <v>4.0375763774864754E-3</v>
      </c>
      <c r="E11" s="61">
        <f>'Tabelau Fraction'!S9+'Tabelau Fraction'!AI9</f>
        <v>3.935291109256818E-2</v>
      </c>
      <c r="F11" s="61">
        <f>'Tabelau Fraction'!M9+'Tabelau Fraction'!T9</f>
        <v>5.0765793652929957E-2</v>
      </c>
      <c r="G11" s="61">
        <f>'Tabelau Fraction'!N9+'Tabelau Fraction'!U9+'Tabelau Fraction'!AL9</f>
        <v>6.1155823530995156E-2</v>
      </c>
      <c r="H11" s="61">
        <f>'Tabelau Fraction'!O9+'Tabelau Fraction'!V9</f>
        <v>6.4062878522785412E-3</v>
      </c>
      <c r="I11" s="61">
        <f>'Tabelau Fraction'!W9+'Tabelau Fraction'!AK9</f>
        <v>0.20505504562461313</v>
      </c>
      <c r="J11" s="61">
        <f>'Tabelau Fraction'!X9</f>
        <v>2.0510887997631295E-2</v>
      </c>
      <c r="K11" s="61">
        <f>'Tabelau Fraction'!P9+'Tabelau Fraction'!Y9+'Tabelau Fraction'!AE9</f>
        <v>2.2341255955425163E-2</v>
      </c>
      <c r="L11" s="61">
        <f>'Tabelau Fraction'!Z9+'Tabelau Fraction'!AF9</f>
        <v>0.13302468305025439</v>
      </c>
      <c r="M11" s="61">
        <f>'Tabelau Fraction'!AA9</f>
        <v>2.6378832332911639E-3</v>
      </c>
      <c r="N11" s="61">
        <f>'Tabelau Fraction'!AB9+'Tabelau Fraction'!AG9</f>
        <v>6.234017926839118E-2</v>
      </c>
      <c r="O11" s="61">
        <f>'Tabelau Fraction'!AC9+'Tabelau Fraction'!AH9</f>
        <v>7.399531641140214E-2</v>
      </c>
      <c r="P11" s="61">
        <f>'Tabelau Fraction'!AD9</f>
        <v>0.15908050927296713</v>
      </c>
      <c r="Q11" s="71">
        <f>'Tabelau Fraction'!AM9</f>
        <v>7.375306182875295E-2</v>
      </c>
      <c r="R11" s="65">
        <f t="shared" ref="R11:R17" si="0">Q11+P11+O11+N11+M11+L11+K11+J11+I11+H11+G11+F11+E11+D11+C11</f>
        <v>1.0000000000000004</v>
      </c>
    </row>
    <row r="12" spans="1:18" s="60" customFormat="1" ht="24.95" customHeight="1" x14ac:dyDescent="0.2">
      <c r="A12" s="63" t="s">
        <v>111</v>
      </c>
      <c r="B12" s="75" t="s">
        <v>73</v>
      </c>
      <c r="C12" s="70">
        <f>'Tabelau Fraction'!Q11</f>
        <v>1.6646765470253563E-2</v>
      </c>
      <c r="D12" s="61">
        <f>'Tabelau Fraction'!AJ11+'Tabelau Fraction'!R11+'Tabelau Fraction'!L11</f>
        <v>5.9001194071784772E-3</v>
      </c>
      <c r="E12" s="61">
        <f>'Tabelau Fraction'!S11+'Tabelau Fraction'!AI11</f>
        <v>3.7226943878626108E-2</v>
      </c>
      <c r="F12" s="61">
        <f>'Tabelau Fraction'!M11+'Tabelau Fraction'!T11</f>
        <v>4.8535506075718188E-2</v>
      </c>
      <c r="G12" s="61">
        <f>'Tabelau Fraction'!N11+'Tabelau Fraction'!U11+'Tabelau Fraction'!AL11</f>
        <v>6.7148978015031224E-2</v>
      </c>
      <c r="H12" s="61">
        <f>'Tabelau Fraction'!O11+'Tabelau Fraction'!V11</f>
        <v>1.3064550115895201E-2</v>
      </c>
      <c r="I12" s="61">
        <f>'Tabelau Fraction'!W11+'Tabelau Fraction'!AK11</f>
        <v>0.1559317271897169</v>
      </c>
      <c r="J12" s="61">
        <f>'Tabelau Fraction'!X11</f>
        <v>6.7429936082039734E-3</v>
      </c>
      <c r="K12" s="61">
        <f>'Tabelau Fraction'!P11+'Tabelau Fraction'!Y11+'Tabelau Fraction'!AE11</f>
        <v>3.6524548711104853E-2</v>
      </c>
      <c r="L12" s="61">
        <f>'Tabelau Fraction'!Z11+'Tabelau Fraction'!AF11</f>
        <v>6.4690594928706865E-2</v>
      </c>
      <c r="M12" s="61">
        <f>'Tabelau Fraction'!AA11</f>
        <v>4.7762871391444821E-3</v>
      </c>
      <c r="N12" s="61">
        <f>'Tabelau Fraction'!AB11+'Tabelau Fraction'!AG11</f>
        <v>0.16063777481210928</v>
      </c>
      <c r="O12" s="61">
        <f>'Tabelau Fraction'!AC11+'Tabelau Fraction'!AH11</f>
        <v>4.3267542319308835E-2</v>
      </c>
      <c r="P12" s="61">
        <f>'Tabelau Fraction'!AD11</f>
        <v>0.2426072908618388</v>
      </c>
      <c r="Q12" s="71">
        <f>'Tabelau Fraction'!AM11</f>
        <v>9.6298377467163007E-2</v>
      </c>
      <c r="R12" s="65">
        <f t="shared" si="0"/>
        <v>0.99999999999999989</v>
      </c>
    </row>
    <row r="13" spans="1:18" s="60" customFormat="1" ht="24.95" customHeight="1" x14ac:dyDescent="0.2">
      <c r="A13" s="63" t="s">
        <v>67</v>
      </c>
      <c r="B13" s="75" t="s">
        <v>118</v>
      </c>
      <c r="C13" s="70">
        <f>'Tabelau Fraction'!Q13</f>
        <v>2.2948690192682402E-2</v>
      </c>
      <c r="D13" s="61">
        <f>'Tabelau Fraction'!AJ13+'Tabelau Fraction'!R13+'Tabelau Fraction'!L13</f>
        <v>2.3093021577542039E-3</v>
      </c>
      <c r="E13" s="61">
        <f>'Tabelau Fraction'!S13+'Tabelau Fraction'!AI13</f>
        <v>4.3371581150321137E-2</v>
      </c>
      <c r="F13" s="61">
        <f>'Tabelau Fraction'!M13+'Tabelau Fraction'!T13</f>
        <v>3.896947391210219E-2</v>
      </c>
      <c r="G13" s="61">
        <f>'Tabelau Fraction'!N13+'Tabelau Fraction'!U13+'Tabelau Fraction'!AL13</f>
        <v>5.9753193331890032E-2</v>
      </c>
      <c r="H13" s="61">
        <f>'Tabelau Fraction'!O13+'Tabelau Fraction'!V13</f>
        <v>1.2628996175218302E-2</v>
      </c>
      <c r="I13" s="61">
        <f>'Tabelau Fraction'!W13+'Tabelau Fraction'!AK13</f>
        <v>0.14389839070505883</v>
      </c>
      <c r="J13" s="61">
        <f>'Tabelau Fraction'!X13</f>
        <v>1.1907339250920112E-2</v>
      </c>
      <c r="K13" s="61">
        <f>'Tabelau Fraction'!P13+'Tabelau Fraction'!Y13+'Tabelau Fraction'!AE13</f>
        <v>2.6484809121743523E-2</v>
      </c>
      <c r="L13" s="61">
        <f>'Tabelau Fraction'!Z13+'Tabelau Fraction'!AF13</f>
        <v>0.18965143970556397</v>
      </c>
      <c r="M13" s="61">
        <f>'Tabelau Fraction'!AA13</f>
        <v>1.0031031247744822E-2</v>
      </c>
      <c r="N13" s="61">
        <f>'Tabelau Fraction'!AB13+'Tabelau Fraction'!AG13</f>
        <v>1.3134156022227034E-2</v>
      </c>
      <c r="O13" s="61">
        <f>'Tabelau Fraction'!AC13+'Tabelau Fraction'!AH13</f>
        <v>0.10911452695388613</v>
      </c>
      <c r="P13" s="61">
        <f>'Tabelau Fraction'!AD13</f>
        <v>0.2589305044381901</v>
      </c>
      <c r="Q13" s="71">
        <f>'Tabelau Fraction'!AM13</f>
        <v>5.6866565634697268E-2</v>
      </c>
      <c r="R13" s="65">
        <f t="shared" si="0"/>
        <v>1</v>
      </c>
    </row>
    <row r="14" spans="1:18" s="60" customFormat="1" ht="24.95" customHeight="1" x14ac:dyDescent="0.2">
      <c r="A14" s="63" t="s">
        <v>80</v>
      </c>
      <c r="B14" s="75" t="s">
        <v>73</v>
      </c>
      <c r="C14" s="70">
        <f>'Tabelau Fraction'!Q15</f>
        <v>2.6225867076712799E-2</v>
      </c>
      <c r="D14" s="61">
        <f>'Tabelau Fraction'!AJ15+'Tabelau Fraction'!R15+'Tabelau Fraction'!L15</f>
        <v>1.9648043738253887E-3</v>
      </c>
      <c r="E14" s="61">
        <f>'Tabelau Fraction'!S15+'Tabelau Fraction'!AI15</f>
        <v>6.0652656757218523E-2</v>
      </c>
      <c r="F14" s="61">
        <f>'Tabelau Fraction'!M15+'Tabelau Fraction'!T15</f>
        <v>3.9808645139244828E-2</v>
      </c>
      <c r="G14" s="61">
        <f>'Tabelau Fraction'!N15+'Tabelau Fraction'!U15+'Tabelau Fraction'!AL15</f>
        <v>6.3044592516658129E-2</v>
      </c>
      <c r="H14" s="61">
        <f>'Tabelau Fraction'!O15+'Tabelau Fraction'!V15</f>
        <v>6.7486758927045969E-3</v>
      </c>
      <c r="I14" s="61">
        <f>'Tabelau Fraction'!W15+'Tabelau Fraction'!AK15</f>
        <v>9.8923628908252154E-2</v>
      </c>
      <c r="J14" s="61">
        <f>'Tabelau Fraction'!X15</f>
        <v>2.4431915257133091E-2</v>
      </c>
      <c r="K14" s="61">
        <f>'Tabelau Fraction'!P15+'Tabelau Fraction'!Y15+'Tabelau Fraction'!AE15</f>
        <v>2.5115325474115834E-2</v>
      </c>
      <c r="L14" s="61">
        <f>'Tabelau Fraction'!Z15+'Tabelau Fraction'!AF15</f>
        <v>9.3285494618144532E-2</v>
      </c>
      <c r="M14" s="61">
        <f>'Tabelau Fraction'!AA15</f>
        <v>2.1356569280710745E-3</v>
      </c>
      <c r="N14" s="61">
        <f>'Tabelau Fraction'!AB15+'Tabelau Fraction'!AG15</f>
        <v>0.20527934392619168</v>
      </c>
      <c r="O14" s="61">
        <f>'Tabelau Fraction'!AC15+'Tabelau Fraction'!AH15</f>
        <v>7.0732957457713991E-2</v>
      </c>
      <c r="P14" s="61">
        <f>'Tabelau Fraction'!AD15</f>
        <v>0.25790193063386296</v>
      </c>
      <c r="Q14" s="71">
        <f>'Tabelau Fraction'!AM15</f>
        <v>2.3748505040150348E-2</v>
      </c>
      <c r="R14" s="65">
        <f t="shared" si="0"/>
        <v>1</v>
      </c>
    </row>
    <row r="15" spans="1:18" s="60" customFormat="1" ht="24.95" customHeight="1" x14ac:dyDescent="0.2">
      <c r="A15" s="63" t="s">
        <v>132</v>
      </c>
      <c r="B15" s="75" t="s">
        <v>73</v>
      </c>
      <c r="C15" s="70">
        <f>'Tabelau Fraction'!Q17</f>
        <v>4.021942939991497E-2</v>
      </c>
      <c r="D15" s="61">
        <f>'Tabelau Fraction'!AJ17+'Tabelau Fraction'!R17+'Tabelau Fraction'!L17</f>
        <v>5.9248726152387734E-3</v>
      </c>
      <c r="E15" s="61">
        <f>'Tabelau Fraction'!S17+'Tabelau Fraction'!AI17</f>
        <v>3.9731498713954129E-2</v>
      </c>
      <c r="F15" s="61">
        <f>'Tabelau Fraction'!M17+'Tabelau Fraction'!T17</f>
        <v>3.0948746366659008E-2</v>
      </c>
      <c r="G15" s="61">
        <f>'Tabelau Fraction'!N17+'Tabelau Fraction'!U17+'Tabelau Fraction'!AL17</f>
        <v>6.4337146163122208E-2</v>
      </c>
      <c r="H15" s="61">
        <f>'Tabelau Fraction'!O17+'Tabelau Fraction'!V17</f>
        <v>1.0595066323721102E-2</v>
      </c>
      <c r="I15" s="61">
        <f>'Tabelau Fraction'!W17+'Tabelau Fraction'!AK17</f>
        <v>9.1521855809511873E-2</v>
      </c>
      <c r="J15" s="61">
        <f>'Tabelau Fraction'!X17</f>
        <v>5.7645525327087832E-2</v>
      </c>
      <c r="K15" s="61">
        <f>'Tabelau Fraction'!P17+'Tabelau Fraction'!Y17+'Tabelau Fraction'!AE17</f>
        <v>6.5313007535043904E-2</v>
      </c>
      <c r="L15" s="61">
        <f>'Tabelau Fraction'!Z17+'Tabelau Fraction'!AF17</f>
        <v>8.3282797655144541E-2</v>
      </c>
      <c r="M15" s="61">
        <f>'Tabelau Fraction'!AA17</f>
        <v>0</v>
      </c>
      <c r="N15" s="61">
        <f>'Tabelau Fraction'!AB17+'Tabelau Fraction'!AG17</f>
        <v>8.6781957717320862E-2</v>
      </c>
      <c r="O15" s="61">
        <f>'Tabelau Fraction'!AC17+'Tabelau Fraction'!AH17</f>
        <v>9.1974934303618375E-2</v>
      </c>
      <c r="P15" s="61">
        <f>'Tabelau Fraction'!AD17</f>
        <v>0.23441584241232938</v>
      </c>
      <c r="Q15" s="71">
        <f>'Tabelau Fraction'!AM17</f>
        <v>9.7307319657333274E-2</v>
      </c>
      <c r="R15" s="65">
        <f t="shared" si="0"/>
        <v>1.0000000000000002</v>
      </c>
    </row>
    <row r="16" spans="1:18" s="60" customFormat="1" ht="24.95" customHeight="1" x14ac:dyDescent="0.2">
      <c r="A16" s="63" t="s">
        <v>144</v>
      </c>
      <c r="B16" s="75" t="s">
        <v>81</v>
      </c>
      <c r="C16" s="70">
        <f>'Tabelau Fraction'!Q19</f>
        <v>2.1823272667380381E-2</v>
      </c>
      <c r="D16" s="61">
        <f>'Tabelau Fraction'!AJ19+'Tabelau Fraction'!R19+'Tabelau Fraction'!L19</f>
        <v>4.5293584781355509E-3</v>
      </c>
      <c r="E16" s="61">
        <f>'Tabelau Fraction'!S19+'Tabelau Fraction'!AI19</f>
        <v>9.692827143210081E-2</v>
      </c>
      <c r="F16" s="61">
        <f>'Tabelau Fraction'!M19+'Tabelau Fraction'!T19</f>
        <v>1.9270361525158524E-2</v>
      </c>
      <c r="G16" s="61">
        <f>'Tabelau Fraction'!N19+'Tabelau Fraction'!U19+'Tabelau Fraction'!AL19</f>
        <v>6.8846248867660373E-2</v>
      </c>
      <c r="H16" s="61">
        <f>'Tabelau Fraction'!O19+'Tabelau Fraction'!V19</f>
        <v>1.910565758049905E-2</v>
      </c>
      <c r="I16" s="61">
        <f>'Tabelau Fraction'!W19+'Tabelau Fraction'!AK19</f>
        <v>0.10285761343984187</v>
      </c>
      <c r="J16" s="61">
        <f>'Tabelau Fraction'!X19</f>
        <v>1.8117433912542207E-2</v>
      </c>
      <c r="K16" s="61">
        <f>'Tabelau Fraction'!P19+'Tabelau Fraction'!Y19+'Tabelau Fraction'!AE19</f>
        <v>2.3387960141645389E-2</v>
      </c>
      <c r="L16" s="61">
        <f>'Tabelau Fraction'!Z19+'Tabelau Fraction'!AF19</f>
        <v>0.18397430618463315</v>
      </c>
      <c r="M16" s="61">
        <f>'Tabelau Fraction'!AA19</f>
        <v>2.9646710038705424E-2</v>
      </c>
      <c r="N16" s="61">
        <f>'Tabelau Fraction'!AB19+'Tabelau Fraction'!AG19</f>
        <v>6.7693321255044056E-2</v>
      </c>
      <c r="O16" s="61">
        <f>'Tabelau Fraction'!AC19+'Tabelau Fraction'!AH19</f>
        <v>5.9458124022070333E-2</v>
      </c>
      <c r="P16" s="61">
        <f>'Tabelau Fraction'!AD19</f>
        <v>0.15037470147410031</v>
      </c>
      <c r="Q16" s="71">
        <f>'Tabelau Fraction'!AM19</f>
        <v>0.13398665898048256</v>
      </c>
      <c r="R16" s="65">
        <f t="shared" si="0"/>
        <v>0.99999999999999989</v>
      </c>
    </row>
    <row r="17" spans="1:18" s="60" customFormat="1" ht="24.95" customHeight="1" thickBot="1" x14ac:dyDescent="0.25">
      <c r="A17" s="63" t="s">
        <v>74</v>
      </c>
      <c r="B17" s="75" t="s">
        <v>73</v>
      </c>
      <c r="C17" s="70">
        <f>'Tabelau Fraction'!Q21</f>
        <v>3.613721445488579E-2</v>
      </c>
      <c r="D17" s="61">
        <f>'Tabelau Fraction'!AJ21+'Tabelau Fraction'!R21+'Tabelau Fraction'!L21</f>
        <v>7.0288028115211244E-3</v>
      </c>
      <c r="E17" s="61">
        <f>'Tabelau Fraction'!S21+'Tabelau Fraction'!AI21</f>
        <v>2.1774008709603485E-2</v>
      </c>
      <c r="F17" s="61">
        <f>'Tabelau Fraction'!M21+'Tabelau Fraction'!T21</f>
        <v>5.1035220414088173E-2</v>
      </c>
      <c r="G17" s="61">
        <f>'Tabelau Fraction'!N21+'Tabelau Fraction'!U21+'Tabelau Fraction'!AL21</f>
        <v>4.9507219802887928E-2</v>
      </c>
      <c r="H17" s="61">
        <f>'Tabelau Fraction'!O21+'Tabelau Fraction'!V21</f>
        <v>2.4448009779203913E-2</v>
      </c>
      <c r="I17" s="61">
        <f>'Tabelau Fraction'!W21+'Tabelau Fraction'!AK21</f>
        <v>7.7928031171212483E-2</v>
      </c>
      <c r="J17" s="61">
        <f>'Tabelau Fraction'!X21</f>
        <v>8.1289632515853E-2</v>
      </c>
      <c r="K17" s="61">
        <f>'Tabelau Fraction'!P21+'Tabelau Fraction'!Y21+'Tabelau Fraction'!AE21</f>
        <v>4.3013217205286884E-2</v>
      </c>
      <c r="L17" s="61">
        <f>'Tabelau Fraction'!Z21+'Tabelau Fraction'!AF21</f>
        <v>0.20192528077011232</v>
      </c>
      <c r="M17" s="61">
        <f>'Tabelau Fraction'!AA21</f>
        <v>1.2224004889601958E-2</v>
      </c>
      <c r="N17" s="61">
        <f>'Tabelau Fraction'!AB21+'Tabelau Fraction'!AG21</f>
        <v>5.6001222400488965E-2</v>
      </c>
      <c r="O17" s="61">
        <f>'Tabelau Fraction'!AC21+'Tabelau Fraction'!AH21</f>
        <v>5.8904423561769434E-2</v>
      </c>
      <c r="P17" s="61">
        <f>'Tabelau Fraction'!AD21</f>
        <v>0.19795247918099168</v>
      </c>
      <c r="Q17" s="71">
        <f>'Tabelau Fraction'!AM21</f>
        <v>8.0831232332492939E-2</v>
      </c>
      <c r="R17" s="65">
        <f t="shared" si="0"/>
        <v>1</v>
      </c>
    </row>
    <row r="18" spans="1:18" s="6" customFormat="1" ht="35.25" customHeight="1" thickBot="1" x14ac:dyDescent="0.25">
      <c r="A18" s="130" t="s">
        <v>84</v>
      </c>
      <c r="B18" s="131"/>
      <c r="C18" s="72">
        <f t="shared" ref="C18:Q18" si="1">SUM(C10:C17)/SUM($C$10:$Q$17)</f>
        <v>3.6708381996163261E-2</v>
      </c>
      <c r="D18" s="73">
        <f t="shared" si="1"/>
        <v>4.7742858714725969E-3</v>
      </c>
      <c r="E18" s="73">
        <f t="shared" si="1"/>
        <v>4.8570231952884721E-2</v>
      </c>
      <c r="F18" s="73">
        <f t="shared" si="1"/>
        <v>4.4471368696978909E-2</v>
      </c>
      <c r="G18" s="73">
        <f t="shared" si="1"/>
        <v>6.1902198612474223E-2</v>
      </c>
      <c r="H18" s="73">
        <f t="shared" si="1"/>
        <v>1.2414201418803139E-2</v>
      </c>
      <c r="I18" s="73">
        <f t="shared" si="1"/>
        <v>0.12489351866388015</v>
      </c>
      <c r="J18" s="73">
        <f t="shared" si="1"/>
        <v>4.0053253515710978E-2</v>
      </c>
      <c r="K18" s="73">
        <f t="shared" si="1"/>
        <v>3.4266016067295048E-2</v>
      </c>
      <c r="L18" s="73">
        <f t="shared" si="1"/>
        <v>0.13157947108056575</v>
      </c>
      <c r="M18" s="73">
        <f t="shared" si="1"/>
        <v>8.3680083835812151E-3</v>
      </c>
      <c r="N18" s="73">
        <f t="shared" si="1"/>
        <v>9.701123151786166E-2</v>
      </c>
      <c r="O18" s="73">
        <f t="shared" si="1"/>
        <v>6.9907543489394874E-2</v>
      </c>
      <c r="P18" s="73">
        <f t="shared" si="1"/>
        <v>0.2081517739997738</v>
      </c>
      <c r="Q18" s="73">
        <f t="shared" si="1"/>
        <v>7.6928514733159481E-2</v>
      </c>
      <c r="R18" s="74">
        <f>SUM(C18:Q18)</f>
        <v>0.99999999999999978</v>
      </c>
    </row>
  </sheetData>
  <mergeCells count="4">
    <mergeCell ref="A18:B18"/>
    <mergeCell ref="A1:F5"/>
    <mergeCell ref="G1:N5"/>
    <mergeCell ref="O1:R5"/>
  </mergeCells>
  <pageMargins left="0.70866141732283472" right="0.70866141732283472" top="0.74803149606299213" bottom="0.74803149606299213" header="0.31496062992125984" footer="0.31496062992125984"/>
  <pageSetup paperSize="8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B1:G59"/>
  <sheetViews>
    <sheetView workbookViewId="0">
      <selection activeCell="D33" sqref="D33:E33"/>
    </sheetView>
  </sheetViews>
  <sheetFormatPr baseColWidth="10" defaultRowHeight="12.75" x14ac:dyDescent="0.2"/>
  <cols>
    <col min="1" max="1" width="1.7109375" customWidth="1"/>
    <col min="2" max="2" width="24.85546875" customWidth="1"/>
    <col min="3" max="3" width="46.7109375" bestFit="1" customWidth="1"/>
    <col min="5" max="5" width="18.5703125" customWidth="1"/>
    <col min="6" max="6" width="24.28515625" bestFit="1" customWidth="1"/>
  </cols>
  <sheetData>
    <row r="1" spans="2:6" ht="12.75" customHeight="1" x14ac:dyDescent="0.2">
      <c r="B1" s="150" t="s">
        <v>0</v>
      </c>
      <c r="C1" s="153" t="s">
        <v>1</v>
      </c>
      <c r="D1" s="153"/>
      <c r="E1" s="154"/>
      <c r="F1" s="159" t="s">
        <v>2</v>
      </c>
    </row>
    <row r="2" spans="2:6" ht="12.75" customHeight="1" x14ac:dyDescent="0.2">
      <c r="B2" s="151"/>
      <c r="C2" s="155"/>
      <c r="D2" s="155"/>
      <c r="E2" s="156"/>
      <c r="F2" s="160"/>
    </row>
    <row r="3" spans="2:6" ht="12.75" customHeight="1" x14ac:dyDescent="0.2">
      <c r="B3" s="151"/>
      <c r="C3" s="155"/>
      <c r="D3" s="155"/>
      <c r="E3" s="156"/>
      <c r="F3" s="160"/>
    </row>
    <row r="4" spans="2:6" ht="13.5" customHeight="1" thickBot="1" x14ac:dyDescent="0.25">
      <c r="B4" s="152"/>
      <c r="C4" s="157"/>
      <c r="D4" s="157"/>
      <c r="E4" s="158"/>
      <c r="F4" s="161"/>
    </row>
    <row r="5" spans="2:6" ht="9.9499999999999993" customHeight="1" thickBot="1" x14ac:dyDescent="0.25">
      <c r="B5" s="1"/>
      <c r="C5" s="8"/>
      <c r="D5" s="8"/>
      <c r="E5" s="8"/>
      <c r="F5" s="2"/>
    </row>
    <row r="6" spans="2:6" ht="20.100000000000001" customHeight="1" thickBot="1" x14ac:dyDescent="0.3">
      <c r="B6" s="162" t="s">
        <v>3</v>
      </c>
      <c r="C6" s="163"/>
      <c r="D6" s="163"/>
      <c r="E6" s="163"/>
      <c r="F6" s="164"/>
    </row>
    <row r="7" spans="2:6" ht="20.100000000000001" customHeight="1" x14ac:dyDescent="0.2">
      <c r="B7" s="165" t="s">
        <v>4</v>
      </c>
      <c r="C7" s="166"/>
      <c r="D7" s="167" t="s">
        <v>5</v>
      </c>
      <c r="E7" s="167"/>
      <c r="F7" s="168"/>
    </row>
    <row r="8" spans="2:6" ht="20.100000000000001" customHeight="1" x14ac:dyDescent="0.2">
      <c r="B8" s="169" t="s">
        <v>6</v>
      </c>
      <c r="C8" s="170"/>
      <c r="D8" s="171" t="s">
        <v>36</v>
      </c>
      <c r="E8" s="171"/>
      <c r="F8" s="172"/>
    </row>
    <row r="9" spans="2:6" ht="20.100000000000001" customHeight="1" x14ac:dyDescent="0.2">
      <c r="B9" s="169" t="s">
        <v>7</v>
      </c>
      <c r="C9" s="170"/>
      <c r="D9" s="171"/>
      <c r="E9" s="171"/>
      <c r="F9" s="172"/>
    </row>
    <row r="10" spans="2:6" ht="20.100000000000001" customHeight="1" x14ac:dyDescent="0.2">
      <c r="B10" s="169" t="s">
        <v>8</v>
      </c>
      <c r="C10" s="170"/>
      <c r="D10" s="173"/>
      <c r="E10" s="173"/>
      <c r="F10" s="174"/>
    </row>
    <row r="11" spans="2:6" ht="20.100000000000001" customHeight="1" thickBot="1" x14ac:dyDescent="0.25">
      <c r="B11" s="175" t="s">
        <v>9</v>
      </c>
      <c r="C11" s="176"/>
      <c r="D11" s="177"/>
      <c r="E11" s="178"/>
      <c r="F11" s="3"/>
    </row>
    <row r="12" spans="2:6" ht="9.9499999999999993" customHeight="1" thickBot="1" x14ac:dyDescent="0.25">
      <c r="B12" s="179"/>
      <c r="C12" s="179"/>
      <c r="D12" s="179"/>
      <c r="E12" s="179"/>
      <c r="F12" s="179"/>
    </row>
    <row r="13" spans="2:6" ht="20.100000000000001" customHeight="1" thickBot="1" x14ac:dyDescent="0.25">
      <c r="B13" s="180" t="s">
        <v>10</v>
      </c>
      <c r="C13" s="181"/>
      <c r="D13" s="181"/>
      <c r="E13" s="181"/>
      <c r="F13" s="182"/>
    </row>
    <row r="14" spans="2:6" ht="20.100000000000001" customHeight="1" x14ac:dyDescent="0.2">
      <c r="B14" s="183" t="s">
        <v>11</v>
      </c>
      <c r="C14" s="184"/>
      <c r="D14" s="185"/>
      <c r="E14" s="185"/>
      <c r="F14" s="7"/>
    </row>
    <row r="15" spans="2:6" ht="20.100000000000001" customHeight="1" thickBot="1" x14ac:dyDescent="0.25">
      <c r="B15" s="175" t="s">
        <v>12</v>
      </c>
      <c r="C15" s="176"/>
      <c r="D15" s="177"/>
      <c r="E15" s="177"/>
      <c r="F15" s="17"/>
    </row>
    <row r="16" spans="2:6" ht="9.9499999999999993" customHeight="1" thickBot="1" x14ac:dyDescent="0.25">
      <c r="B16" s="179"/>
      <c r="C16" s="179"/>
      <c r="D16" s="179"/>
      <c r="E16" s="179"/>
      <c r="F16" s="179"/>
    </row>
    <row r="17" spans="2:6" ht="20.100000000000001" customHeight="1" thickBot="1" x14ac:dyDescent="0.25">
      <c r="B17" s="180" t="s">
        <v>13</v>
      </c>
      <c r="C17" s="181"/>
      <c r="D17" s="181"/>
      <c r="E17" s="181"/>
      <c r="F17" s="182"/>
    </row>
    <row r="18" spans="2:6" ht="15.75" thickBot="1" x14ac:dyDescent="0.25">
      <c r="B18" s="186" t="s">
        <v>14</v>
      </c>
      <c r="C18" s="187"/>
      <c r="D18" s="187" t="s">
        <v>15</v>
      </c>
      <c r="E18" s="187"/>
      <c r="F18" s="11" t="s">
        <v>16</v>
      </c>
    </row>
    <row r="19" spans="2:6" s="4" customFormat="1" ht="24.95" customHeight="1" x14ac:dyDescent="0.2">
      <c r="B19" s="188" t="s">
        <v>17</v>
      </c>
      <c r="C19" s="10" t="s">
        <v>18</v>
      </c>
      <c r="D19" s="191"/>
      <c r="E19" s="191"/>
      <c r="F19" s="5" t="e">
        <f>+D19/D51</f>
        <v>#DIV/0!</v>
      </c>
    </row>
    <row r="20" spans="2:6" s="4" customFormat="1" ht="24.95" customHeight="1" x14ac:dyDescent="0.2">
      <c r="B20" s="189"/>
      <c r="C20" s="15" t="s">
        <v>19</v>
      </c>
      <c r="D20" s="192"/>
      <c r="E20" s="192"/>
      <c r="F20" s="18" t="e">
        <f>+D20/D51</f>
        <v>#DIV/0!</v>
      </c>
    </row>
    <row r="21" spans="2:6" s="4" customFormat="1" ht="24.95" customHeight="1" x14ac:dyDescent="0.2">
      <c r="B21" s="189"/>
      <c r="C21" s="15" t="s">
        <v>20</v>
      </c>
      <c r="D21" s="192"/>
      <c r="E21" s="192"/>
      <c r="F21" s="18" t="e">
        <f>+D21/D51</f>
        <v>#DIV/0!</v>
      </c>
    </row>
    <row r="22" spans="2:6" s="4" customFormat="1" ht="24.95" customHeight="1" x14ac:dyDescent="0.2">
      <c r="B22" s="189"/>
      <c r="C22" s="15" t="s">
        <v>21</v>
      </c>
      <c r="D22" s="192"/>
      <c r="E22" s="192"/>
      <c r="F22" s="18" t="e">
        <f>+D22/D51</f>
        <v>#DIV/0!</v>
      </c>
    </row>
    <row r="23" spans="2:6" s="4" customFormat="1" ht="24.95" customHeight="1" x14ac:dyDescent="0.2">
      <c r="B23" s="189"/>
      <c r="C23" s="15" t="s">
        <v>22</v>
      </c>
      <c r="D23" s="192"/>
      <c r="E23" s="192"/>
      <c r="F23" s="18" t="e">
        <f>+D23/D51</f>
        <v>#DIV/0!</v>
      </c>
    </row>
    <row r="24" spans="2:6" s="4" customFormat="1" ht="24.95" customHeight="1" thickBot="1" x14ac:dyDescent="0.25">
      <c r="B24" s="190"/>
      <c r="C24" s="9" t="s">
        <v>37</v>
      </c>
      <c r="D24" s="193"/>
      <c r="E24" s="193"/>
      <c r="F24" s="19" t="e">
        <f>+D24/D51</f>
        <v>#DIV/0!</v>
      </c>
    </row>
    <row r="25" spans="2:6" s="4" customFormat="1" ht="13.5" thickBot="1" x14ac:dyDescent="0.25">
      <c r="B25" s="205"/>
      <c r="C25" s="206"/>
      <c r="D25" s="206"/>
      <c r="E25" s="206"/>
      <c r="F25" s="207"/>
    </row>
    <row r="26" spans="2:6" s="4" customFormat="1" ht="24.95" customHeight="1" x14ac:dyDescent="0.2">
      <c r="B26" s="194" t="s">
        <v>23</v>
      </c>
      <c r="C26" s="37" t="s">
        <v>24</v>
      </c>
      <c r="D26" s="191"/>
      <c r="E26" s="191"/>
      <c r="F26" s="5" t="e">
        <f>+D26/D51</f>
        <v>#DIV/0!</v>
      </c>
    </row>
    <row r="27" spans="2:6" s="4" customFormat="1" ht="24.95" customHeight="1" x14ac:dyDescent="0.2">
      <c r="B27" s="195"/>
      <c r="C27" s="42" t="s">
        <v>43</v>
      </c>
      <c r="D27" s="192"/>
      <c r="E27" s="192"/>
      <c r="F27" s="18" t="e">
        <f>+D27/D51</f>
        <v>#DIV/0!</v>
      </c>
    </row>
    <row r="28" spans="2:6" s="4" customFormat="1" ht="24.95" customHeight="1" x14ac:dyDescent="0.2">
      <c r="B28" s="196"/>
      <c r="C28" s="42" t="s">
        <v>25</v>
      </c>
      <c r="D28" s="192"/>
      <c r="E28" s="192"/>
      <c r="F28" s="18" t="e">
        <f>D28/D51</f>
        <v>#DIV/0!</v>
      </c>
    </row>
    <row r="29" spans="2:6" s="4" customFormat="1" ht="24.95" customHeight="1" x14ac:dyDescent="0.2">
      <c r="B29" s="196"/>
      <c r="C29" s="42" t="s">
        <v>26</v>
      </c>
      <c r="D29" s="192"/>
      <c r="E29" s="192"/>
      <c r="F29" s="18" t="e">
        <f>D29/D51</f>
        <v>#DIV/0!</v>
      </c>
    </row>
    <row r="30" spans="2:6" s="4" customFormat="1" ht="24.95" customHeight="1" x14ac:dyDescent="0.2">
      <c r="B30" s="196"/>
      <c r="C30" s="42" t="s">
        <v>21</v>
      </c>
      <c r="D30" s="192"/>
      <c r="E30" s="192"/>
      <c r="F30" s="18" t="e">
        <f>D30/D51</f>
        <v>#DIV/0!</v>
      </c>
    </row>
    <row r="31" spans="2:6" s="4" customFormat="1" ht="24.95" customHeight="1" x14ac:dyDescent="0.2">
      <c r="B31" s="196"/>
      <c r="C31" s="42" t="s">
        <v>39</v>
      </c>
      <c r="D31" s="192"/>
      <c r="E31" s="192"/>
      <c r="F31" s="18" t="e">
        <f>D31/D51</f>
        <v>#DIV/0!</v>
      </c>
    </row>
    <row r="32" spans="2:6" s="4" customFormat="1" ht="24.95" customHeight="1" x14ac:dyDescent="0.2">
      <c r="B32" s="196"/>
      <c r="C32" s="42" t="s">
        <v>38</v>
      </c>
      <c r="D32" s="192"/>
      <c r="E32" s="192"/>
      <c r="F32" s="18" t="e">
        <f>D32/D51</f>
        <v>#DIV/0!</v>
      </c>
    </row>
    <row r="33" spans="2:6" s="4" customFormat="1" ht="24.95" customHeight="1" x14ac:dyDescent="0.2">
      <c r="B33" s="196"/>
      <c r="C33" s="42" t="s">
        <v>27</v>
      </c>
      <c r="D33" s="192"/>
      <c r="E33" s="192"/>
      <c r="F33" s="18" t="e">
        <f>D33/D51</f>
        <v>#DIV/0!</v>
      </c>
    </row>
    <row r="34" spans="2:6" s="4" customFormat="1" ht="24.95" customHeight="1" x14ac:dyDescent="0.2">
      <c r="B34" s="196"/>
      <c r="C34" s="43" t="s">
        <v>28</v>
      </c>
      <c r="D34" s="192"/>
      <c r="E34" s="192"/>
      <c r="F34" s="18" t="e">
        <f>D34/D51</f>
        <v>#DIV/0!</v>
      </c>
    </row>
    <row r="35" spans="2:6" s="4" customFormat="1" ht="24.95" customHeight="1" x14ac:dyDescent="0.2">
      <c r="B35" s="196"/>
      <c r="C35" s="43" t="s">
        <v>29</v>
      </c>
      <c r="D35" s="192"/>
      <c r="E35" s="192"/>
      <c r="F35" s="18" t="e">
        <f>D35/D51</f>
        <v>#DIV/0!</v>
      </c>
    </row>
    <row r="36" spans="2:6" s="4" customFormat="1" ht="24.95" customHeight="1" x14ac:dyDescent="0.2">
      <c r="B36" s="196"/>
      <c r="C36" s="43" t="s">
        <v>30</v>
      </c>
      <c r="D36" s="192"/>
      <c r="E36" s="192"/>
      <c r="F36" s="18" t="e">
        <f>D36/D51</f>
        <v>#DIV/0!</v>
      </c>
    </row>
    <row r="37" spans="2:6" s="4" customFormat="1" ht="24.95" customHeight="1" x14ac:dyDescent="0.2">
      <c r="B37" s="196"/>
      <c r="C37" s="43" t="s">
        <v>40</v>
      </c>
      <c r="D37" s="192"/>
      <c r="E37" s="192"/>
      <c r="F37" s="18" t="e">
        <f>D37/D51</f>
        <v>#DIV/0!</v>
      </c>
    </row>
    <row r="38" spans="2:6" s="4" customFormat="1" ht="24.95" customHeight="1" thickBot="1" x14ac:dyDescent="0.25">
      <c r="B38" s="197"/>
      <c r="C38" s="35" t="s">
        <v>41</v>
      </c>
      <c r="D38" s="193"/>
      <c r="E38" s="193"/>
      <c r="F38" s="19" t="e">
        <f>D38/D51</f>
        <v>#DIV/0!</v>
      </c>
    </row>
    <row r="39" spans="2:6" s="4" customFormat="1" ht="12.75" customHeight="1" thickBot="1" x14ac:dyDescent="0.25">
      <c r="B39" s="198"/>
      <c r="C39" s="199"/>
      <c r="D39" s="199"/>
      <c r="E39" s="199"/>
      <c r="F39" s="200"/>
    </row>
    <row r="40" spans="2:6" s="4" customFormat="1" ht="24.95" customHeight="1" x14ac:dyDescent="0.2">
      <c r="B40" s="208" t="s">
        <v>31</v>
      </c>
      <c r="C40" s="10" t="s">
        <v>32</v>
      </c>
      <c r="D40" s="191"/>
      <c r="E40" s="191"/>
      <c r="F40" s="5" t="e">
        <f>+D40/D51</f>
        <v>#DIV/0!</v>
      </c>
    </row>
    <row r="41" spans="2:6" s="4" customFormat="1" ht="24.95" customHeight="1" x14ac:dyDescent="0.2">
      <c r="B41" s="209"/>
      <c r="C41" s="16" t="s">
        <v>28</v>
      </c>
      <c r="D41" s="192"/>
      <c r="E41" s="192"/>
      <c r="F41" s="18" t="e">
        <f>+D41/D51</f>
        <v>#DIV/0!</v>
      </c>
    </row>
    <row r="42" spans="2:6" s="4" customFormat="1" ht="24.95" customHeight="1" x14ac:dyDescent="0.2">
      <c r="B42" s="209"/>
      <c r="C42" s="16" t="s">
        <v>30</v>
      </c>
      <c r="D42" s="192"/>
      <c r="E42" s="192"/>
      <c r="F42" s="18" t="e">
        <f>+D42/D51</f>
        <v>#DIV/0!</v>
      </c>
    </row>
    <row r="43" spans="2:6" s="4" customFormat="1" ht="24.95" customHeight="1" x14ac:dyDescent="0.2">
      <c r="B43" s="209"/>
      <c r="C43" s="16" t="s">
        <v>40</v>
      </c>
      <c r="D43" s="192"/>
      <c r="E43" s="192"/>
      <c r="F43" s="18" t="e">
        <f>+D43/D51</f>
        <v>#DIV/0!</v>
      </c>
    </row>
    <row r="44" spans="2:6" s="4" customFormat="1" ht="24.95" customHeight="1" x14ac:dyDescent="0.2">
      <c r="B44" s="209"/>
      <c r="C44" s="15" t="s">
        <v>43</v>
      </c>
      <c r="D44" s="192"/>
      <c r="E44" s="192"/>
      <c r="F44" s="18" t="e">
        <f>+D44/D51</f>
        <v>#DIV/0!</v>
      </c>
    </row>
    <row r="45" spans="2:6" s="4" customFormat="1" ht="24.95" customHeight="1" x14ac:dyDescent="0.2">
      <c r="B45" s="210"/>
      <c r="C45" s="26" t="s">
        <v>24</v>
      </c>
      <c r="D45" s="192"/>
      <c r="E45" s="192"/>
      <c r="F45" s="18" t="e">
        <f>+D45/D51</f>
        <v>#DIV/0!</v>
      </c>
    </row>
    <row r="46" spans="2:6" s="4" customFormat="1" ht="24.95" customHeight="1" x14ac:dyDescent="0.2">
      <c r="B46" s="210"/>
      <c r="C46" s="26" t="s">
        <v>39</v>
      </c>
      <c r="D46" s="192"/>
      <c r="E46" s="192"/>
      <c r="F46" s="18" t="e">
        <f>+D46/D51</f>
        <v>#DIV/0!</v>
      </c>
    </row>
    <row r="47" spans="2:6" s="4" customFormat="1" ht="24.95" customHeight="1" thickBot="1" x14ac:dyDescent="0.25">
      <c r="B47" s="211"/>
      <c r="C47" s="9" t="s">
        <v>44</v>
      </c>
      <c r="D47" s="193"/>
      <c r="E47" s="193"/>
      <c r="F47" s="19" t="e">
        <f>+D47/D51</f>
        <v>#DIV/0!</v>
      </c>
    </row>
    <row r="48" spans="2:6" s="4" customFormat="1" ht="12.75" customHeight="1" thickBot="1" x14ac:dyDescent="0.25">
      <c r="B48" s="198"/>
      <c r="C48" s="199"/>
      <c r="D48" s="199"/>
      <c r="E48" s="199"/>
      <c r="F48" s="200"/>
    </row>
    <row r="49" spans="2:7" s="4" customFormat="1" ht="24.95" customHeight="1" thickBot="1" x14ac:dyDescent="0.25">
      <c r="B49" s="24" t="s">
        <v>33</v>
      </c>
      <c r="C49" s="26" t="s">
        <v>42</v>
      </c>
      <c r="D49" s="201"/>
      <c r="E49" s="201"/>
      <c r="F49" s="25" t="e">
        <f>+D49/D51</f>
        <v>#DIV/0!</v>
      </c>
    </row>
    <row r="50" spans="2:7" s="4" customFormat="1" ht="13.5" thickBot="1" x14ac:dyDescent="0.25">
      <c r="B50" s="202"/>
      <c r="C50" s="203"/>
      <c r="D50" s="203"/>
      <c r="E50" s="203"/>
      <c r="F50" s="204"/>
    </row>
    <row r="51" spans="2:7" ht="30" customHeight="1" thickBot="1" x14ac:dyDescent="0.25">
      <c r="B51" s="212" t="s">
        <v>34</v>
      </c>
      <c r="C51" s="213"/>
      <c r="D51" s="214">
        <f>D19+D20+D21+D22+D23+D24+D26+D27+D28+D29+D30+D31+D32+D33+D34+D35+D36+D37+D38+D40+D41+D42+D43+D44+D45+D46+D47+D49</f>
        <v>0</v>
      </c>
      <c r="E51" s="214"/>
      <c r="F51" s="20" t="e">
        <f>F19+F20+F21+F22+F23+F24+F26+F27+F28+F29+F30+F31+F32+F33+F34+F35+F36+F37+F38+F40+F41+F42+F43+F44+F45+F46+F47+F49</f>
        <v>#DIV/0!</v>
      </c>
    </row>
    <row r="52" spans="2:7" ht="9.75" customHeight="1" thickBot="1" x14ac:dyDescent="0.25">
      <c r="B52" s="215"/>
      <c r="C52" s="215"/>
      <c r="D52" s="215"/>
      <c r="E52" s="215"/>
      <c r="F52" s="215"/>
    </row>
    <row r="53" spans="2:7" ht="20.100000000000001" customHeight="1" thickBot="1" x14ac:dyDescent="0.25">
      <c r="B53" s="186" t="s">
        <v>35</v>
      </c>
      <c r="C53" s="187"/>
      <c r="D53" s="187"/>
      <c r="E53" s="187"/>
      <c r="F53" s="216"/>
    </row>
    <row r="54" spans="2:7" ht="27.95" customHeight="1" x14ac:dyDescent="0.2">
      <c r="B54" s="132"/>
      <c r="C54" s="133"/>
      <c r="D54" s="133"/>
      <c r="E54" s="133"/>
      <c r="F54" s="134"/>
    </row>
    <row r="55" spans="2:7" ht="27.95" customHeight="1" thickBot="1" x14ac:dyDescent="0.25">
      <c r="B55" s="138"/>
      <c r="C55" s="139"/>
      <c r="D55" s="139"/>
      <c r="E55" s="139"/>
      <c r="F55" s="140"/>
    </row>
    <row r="56" spans="2:7" ht="9.9499999999999993" customHeight="1" x14ac:dyDescent="0.2">
      <c r="G56" s="6"/>
    </row>
    <row r="57" spans="2:7" ht="15" customHeight="1" x14ac:dyDescent="0.2">
      <c r="G57" s="6"/>
    </row>
    <row r="58" spans="2:7" ht="12.75" customHeight="1" x14ac:dyDescent="0.2"/>
    <row r="59" spans="2:7" ht="12.75" customHeight="1" x14ac:dyDescent="0.2"/>
  </sheetData>
  <mergeCells count="64">
    <mergeCell ref="B54:F55"/>
    <mergeCell ref="B51:C51"/>
    <mergeCell ref="D51:E51"/>
    <mergeCell ref="B52:F52"/>
    <mergeCell ref="B53:F53"/>
    <mergeCell ref="B48:F48"/>
    <mergeCell ref="D49:E49"/>
    <mergeCell ref="B50:F50"/>
    <mergeCell ref="B25:F25"/>
    <mergeCell ref="B39:F39"/>
    <mergeCell ref="B40:B47"/>
    <mergeCell ref="D40:E40"/>
    <mergeCell ref="D41:E41"/>
    <mergeCell ref="D42:E42"/>
    <mergeCell ref="D43:E43"/>
    <mergeCell ref="D44:E44"/>
    <mergeCell ref="D47:E47"/>
    <mergeCell ref="D31:E31"/>
    <mergeCell ref="D32:E32"/>
    <mergeCell ref="D45:E45"/>
    <mergeCell ref="D46:E46"/>
    <mergeCell ref="D27:E27"/>
    <mergeCell ref="B26:B38"/>
    <mergeCell ref="D26:E26"/>
    <mergeCell ref="D28:E28"/>
    <mergeCell ref="D29:E29"/>
    <mergeCell ref="D30:E30"/>
    <mergeCell ref="D33:E33"/>
    <mergeCell ref="D34:E34"/>
    <mergeCell ref="D35:E35"/>
    <mergeCell ref="D36:E36"/>
    <mergeCell ref="D37:E37"/>
    <mergeCell ref="D38:E38"/>
    <mergeCell ref="B19:B24"/>
    <mergeCell ref="D19:E19"/>
    <mergeCell ref="D20:E20"/>
    <mergeCell ref="D21:E21"/>
    <mergeCell ref="D22:E22"/>
    <mergeCell ref="D23:E23"/>
    <mergeCell ref="D24:E24"/>
    <mergeCell ref="B15:C15"/>
    <mergeCell ref="D15:E15"/>
    <mergeCell ref="B16:F16"/>
    <mergeCell ref="B17:F17"/>
    <mergeCell ref="B18:C18"/>
    <mergeCell ref="D18:E18"/>
    <mergeCell ref="B11:C11"/>
    <mergeCell ref="D11:E11"/>
    <mergeCell ref="B12:F12"/>
    <mergeCell ref="B13:F13"/>
    <mergeCell ref="B14:C14"/>
    <mergeCell ref="D14:E14"/>
    <mergeCell ref="B8:C8"/>
    <mergeCell ref="D8:F8"/>
    <mergeCell ref="B9:C9"/>
    <mergeCell ref="D9:F9"/>
    <mergeCell ref="B10:C10"/>
    <mergeCell ref="D10:F10"/>
    <mergeCell ref="B1:B4"/>
    <mergeCell ref="C1:E4"/>
    <mergeCell ref="F1:F4"/>
    <mergeCell ref="B6:F6"/>
    <mergeCell ref="B7:C7"/>
    <mergeCell ref="D7:F7"/>
  </mergeCells>
  <conditionalFormatting sqref="F51">
    <cfRule type="expression" dxfId="19" priority="2" stopIfTrue="1">
      <formula>$D$51=0</formula>
    </cfRule>
  </conditionalFormatting>
  <conditionalFormatting sqref="D51:E51">
    <cfRule type="cellIs" dxfId="18" priority="1" stopIfTrue="1" operator="equal">
      <formula>0</formula>
    </cfRule>
  </conditionalFormatting>
  <printOptions horizontalCentered="1"/>
  <pageMargins left="0" right="0" top="0.15748031496062992" bottom="0" header="0.23622047244094491" footer="0.31496062992125984"/>
  <pageSetup paperSize="9" scale="7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G59"/>
  <sheetViews>
    <sheetView workbookViewId="0">
      <selection activeCell="C42" sqref="C42"/>
    </sheetView>
  </sheetViews>
  <sheetFormatPr baseColWidth="10" defaultRowHeight="12.75" x14ac:dyDescent="0.2"/>
  <cols>
    <col min="1" max="1" width="1.7109375" customWidth="1"/>
    <col min="2" max="2" width="24.85546875" customWidth="1"/>
    <col min="3" max="3" width="46.7109375" bestFit="1" customWidth="1"/>
    <col min="5" max="5" width="18.5703125" customWidth="1"/>
    <col min="6" max="6" width="24.28515625" bestFit="1" customWidth="1"/>
  </cols>
  <sheetData>
    <row r="1" spans="2:6" ht="12.75" customHeight="1" x14ac:dyDescent="0.2">
      <c r="B1" s="150" t="s">
        <v>0</v>
      </c>
      <c r="C1" s="153" t="s">
        <v>1</v>
      </c>
      <c r="D1" s="153"/>
      <c r="E1" s="154"/>
      <c r="F1" s="159" t="s">
        <v>2</v>
      </c>
    </row>
    <row r="2" spans="2:6" ht="12.75" customHeight="1" x14ac:dyDescent="0.2">
      <c r="B2" s="151"/>
      <c r="C2" s="155"/>
      <c r="D2" s="155"/>
      <c r="E2" s="156"/>
      <c r="F2" s="160"/>
    </row>
    <row r="3" spans="2:6" ht="12.75" customHeight="1" x14ac:dyDescent="0.2">
      <c r="B3" s="151"/>
      <c r="C3" s="155"/>
      <c r="D3" s="155"/>
      <c r="E3" s="156"/>
      <c r="F3" s="160"/>
    </row>
    <row r="4" spans="2:6" ht="13.5" customHeight="1" thickBot="1" x14ac:dyDescent="0.25">
      <c r="B4" s="152"/>
      <c r="C4" s="157"/>
      <c r="D4" s="157"/>
      <c r="E4" s="158"/>
      <c r="F4" s="161"/>
    </row>
    <row r="5" spans="2:6" ht="9.9499999999999993" customHeight="1" thickBot="1" x14ac:dyDescent="0.25">
      <c r="B5" s="1"/>
      <c r="C5" s="31"/>
      <c r="D5" s="31"/>
      <c r="E5" s="31"/>
      <c r="F5" s="2"/>
    </row>
    <row r="6" spans="2:6" ht="20.100000000000001" customHeight="1" thickBot="1" x14ac:dyDescent="0.3">
      <c r="B6" s="162" t="s">
        <v>3</v>
      </c>
      <c r="C6" s="163"/>
      <c r="D6" s="163"/>
      <c r="E6" s="163"/>
      <c r="F6" s="164"/>
    </row>
    <row r="7" spans="2:6" ht="20.100000000000001" customHeight="1" x14ac:dyDescent="0.2">
      <c r="B7" s="165" t="s">
        <v>4</v>
      </c>
      <c r="C7" s="166"/>
      <c r="D7" s="167" t="s">
        <v>5</v>
      </c>
      <c r="E7" s="167"/>
      <c r="F7" s="168"/>
    </row>
    <row r="8" spans="2:6" ht="20.100000000000001" customHeight="1" x14ac:dyDescent="0.2">
      <c r="B8" s="169" t="s">
        <v>6</v>
      </c>
      <c r="C8" s="170"/>
      <c r="D8" s="171" t="s">
        <v>36</v>
      </c>
      <c r="E8" s="171"/>
      <c r="F8" s="172"/>
    </row>
    <row r="9" spans="2:6" ht="20.100000000000001" customHeight="1" x14ac:dyDescent="0.2">
      <c r="B9" s="169" t="s">
        <v>7</v>
      </c>
      <c r="C9" s="170"/>
      <c r="D9" s="171" t="s">
        <v>97</v>
      </c>
      <c r="E9" s="171"/>
      <c r="F9" s="172"/>
    </row>
    <row r="10" spans="2:6" ht="20.100000000000001" customHeight="1" x14ac:dyDescent="0.2">
      <c r="B10" s="169" t="s">
        <v>8</v>
      </c>
      <c r="C10" s="170"/>
      <c r="D10" s="173" t="s">
        <v>98</v>
      </c>
      <c r="E10" s="173"/>
      <c r="F10" s="174"/>
    </row>
    <row r="11" spans="2:6" ht="20.100000000000001" customHeight="1" thickBot="1" x14ac:dyDescent="0.25">
      <c r="B11" s="175" t="s">
        <v>9</v>
      </c>
      <c r="C11" s="176"/>
      <c r="D11" s="177">
        <v>43608</v>
      </c>
      <c r="E11" s="178"/>
      <c r="F11" s="3">
        <v>4.5199999999999996</v>
      </c>
    </row>
    <row r="12" spans="2:6" ht="9.9499999999999993" customHeight="1" thickBot="1" x14ac:dyDescent="0.25">
      <c r="B12" s="179"/>
      <c r="C12" s="179"/>
      <c r="D12" s="179"/>
      <c r="E12" s="179"/>
      <c r="F12" s="179"/>
    </row>
    <row r="13" spans="2:6" ht="20.100000000000001" customHeight="1" thickBot="1" x14ac:dyDescent="0.25">
      <c r="B13" s="180" t="s">
        <v>10</v>
      </c>
      <c r="C13" s="181"/>
      <c r="D13" s="181"/>
      <c r="E13" s="181"/>
      <c r="F13" s="182"/>
    </row>
    <row r="14" spans="2:6" ht="20.100000000000001" customHeight="1" x14ac:dyDescent="0.2">
      <c r="B14" s="183" t="s">
        <v>11</v>
      </c>
      <c r="C14" s="184"/>
      <c r="D14" s="185" t="s">
        <v>91</v>
      </c>
      <c r="E14" s="185"/>
      <c r="F14" s="7" t="s">
        <v>99</v>
      </c>
    </row>
    <row r="15" spans="2:6" ht="20.100000000000001" customHeight="1" thickBot="1" x14ac:dyDescent="0.25">
      <c r="B15" s="175" t="s">
        <v>12</v>
      </c>
      <c r="C15" s="176"/>
      <c r="D15" s="177">
        <v>43612</v>
      </c>
      <c r="E15" s="177"/>
      <c r="F15" s="17" t="s">
        <v>100</v>
      </c>
    </row>
    <row r="16" spans="2:6" ht="9.9499999999999993" customHeight="1" thickBot="1" x14ac:dyDescent="0.25">
      <c r="B16" s="179"/>
      <c r="C16" s="179"/>
      <c r="D16" s="179"/>
      <c r="E16" s="179"/>
      <c r="F16" s="179"/>
    </row>
    <row r="17" spans="2:6" ht="20.100000000000001" customHeight="1" thickBot="1" x14ac:dyDescent="0.25">
      <c r="B17" s="180" t="s">
        <v>13</v>
      </c>
      <c r="C17" s="181"/>
      <c r="D17" s="181"/>
      <c r="E17" s="181"/>
      <c r="F17" s="182"/>
    </row>
    <row r="18" spans="2:6" ht="15.75" thickBot="1" x14ac:dyDescent="0.25">
      <c r="B18" s="186" t="s">
        <v>14</v>
      </c>
      <c r="C18" s="187"/>
      <c r="D18" s="187" t="s">
        <v>15</v>
      </c>
      <c r="E18" s="187"/>
      <c r="F18" s="28" t="s">
        <v>16</v>
      </c>
    </row>
    <row r="19" spans="2:6" s="4" customFormat="1" ht="24.95" customHeight="1" x14ac:dyDescent="0.2">
      <c r="B19" s="188" t="s">
        <v>17</v>
      </c>
      <c r="C19" s="30" t="s">
        <v>18</v>
      </c>
      <c r="D19" s="191">
        <v>0</v>
      </c>
      <c r="E19" s="191"/>
      <c r="F19" s="5">
        <f>+D19/D51</f>
        <v>0</v>
      </c>
    </row>
    <row r="20" spans="2:6" s="4" customFormat="1" ht="24.95" customHeight="1" x14ac:dyDescent="0.2">
      <c r="B20" s="189"/>
      <c r="C20" s="15" t="s">
        <v>19</v>
      </c>
      <c r="D20" s="192">
        <f>3.24+0.2</f>
        <v>3.4400000000000004</v>
      </c>
      <c r="E20" s="192"/>
      <c r="F20" s="18">
        <f>+D20/D51</f>
        <v>1.574514829732699E-2</v>
      </c>
    </row>
    <row r="21" spans="2:6" s="4" customFormat="1" ht="24.95" customHeight="1" x14ac:dyDescent="0.2">
      <c r="B21" s="189"/>
      <c r="C21" s="15" t="s">
        <v>20</v>
      </c>
      <c r="D21" s="192">
        <v>2.6</v>
      </c>
      <c r="E21" s="192"/>
      <c r="F21" s="18">
        <f>+D21/D51</f>
        <v>1.1900402782863421E-2</v>
      </c>
    </row>
    <row r="22" spans="2:6" s="4" customFormat="1" ht="24.95" customHeight="1" x14ac:dyDescent="0.2">
      <c r="B22" s="189"/>
      <c r="C22" s="15" t="s">
        <v>21</v>
      </c>
      <c r="D22" s="192">
        <v>0.78</v>
      </c>
      <c r="E22" s="192"/>
      <c r="F22" s="18">
        <f>+D22/D51</f>
        <v>3.5701208348590261E-3</v>
      </c>
    </row>
    <row r="23" spans="2:6" s="4" customFormat="1" ht="24.95" customHeight="1" x14ac:dyDescent="0.2">
      <c r="B23" s="189"/>
      <c r="C23" s="15" t="s">
        <v>22</v>
      </c>
      <c r="D23" s="192">
        <v>0.78</v>
      </c>
      <c r="E23" s="192"/>
      <c r="F23" s="18">
        <f>+D23/D51</f>
        <v>3.5701208348590261E-3</v>
      </c>
    </row>
    <row r="24" spans="2:6" s="4" customFormat="1" ht="24.95" customHeight="1" thickBot="1" x14ac:dyDescent="0.25">
      <c r="B24" s="190"/>
      <c r="C24" s="29" t="s">
        <v>37</v>
      </c>
      <c r="D24" s="193">
        <f>6.98+2.66</f>
        <v>9.64</v>
      </c>
      <c r="E24" s="193"/>
      <c r="F24" s="19">
        <f>+D24/D51</f>
        <v>4.4123031856462838E-2</v>
      </c>
    </row>
    <row r="25" spans="2:6" s="4" customFormat="1" ht="13.5" thickBot="1" x14ac:dyDescent="0.25">
      <c r="B25" s="205"/>
      <c r="C25" s="206"/>
      <c r="D25" s="206"/>
      <c r="E25" s="206"/>
      <c r="F25" s="207"/>
    </row>
    <row r="26" spans="2:6" s="4" customFormat="1" ht="24.95" customHeight="1" x14ac:dyDescent="0.2">
      <c r="B26" s="194" t="s">
        <v>23</v>
      </c>
      <c r="C26" s="37" t="s">
        <v>24</v>
      </c>
      <c r="D26" s="191">
        <v>1.1000000000000001</v>
      </c>
      <c r="E26" s="191"/>
      <c r="F26" s="5">
        <f>+D26/D51</f>
        <v>5.0347857927499091E-3</v>
      </c>
    </row>
    <row r="27" spans="2:6" s="4" customFormat="1" ht="24.95" customHeight="1" x14ac:dyDescent="0.2">
      <c r="B27" s="195"/>
      <c r="C27" s="42" t="s">
        <v>43</v>
      </c>
      <c r="D27" s="192">
        <f>6.4+3.76</f>
        <v>10.16</v>
      </c>
      <c r="E27" s="192"/>
      <c r="F27" s="18">
        <f>+D27/D51</f>
        <v>4.6503112413035522E-2</v>
      </c>
    </row>
    <row r="28" spans="2:6" s="4" customFormat="1" ht="24.95" customHeight="1" x14ac:dyDescent="0.2">
      <c r="B28" s="196"/>
      <c r="C28" s="42" t="s">
        <v>25</v>
      </c>
      <c r="D28" s="192">
        <f>4.16+9.1</f>
        <v>13.26</v>
      </c>
      <c r="E28" s="192"/>
      <c r="F28" s="18">
        <f>D28/D51</f>
        <v>6.0692054192603442E-2</v>
      </c>
    </row>
    <row r="29" spans="2:6" s="4" customFormat="1" ht="24.95" customHeight="1" x14ac:dyDescent="0.2">
      <c r="B29" s="196"/>
      <c r="C29" s="42" t="s">
        <v>26</v>
      </c>
      <c r="D29" s="192">
        <f>4.86+5.44</f>
        <v>10.3</v>
      </c>
      <c r="E29" s="192"/>
      <c r="F29" s="18">
        <f>D29/D51</f>
        <v>4.7143903332112783E-2</v>
      </c>
    </row>
    <row r="30" spans="2:6" s="4" customFormat="1" ht="24.95" customHeight="1" x14ac:dyDescent="0.2">
      <c r="B30" s="196"/>
      <c r="C30" s="42" t="s">
        <v>21</v>
      </c>
      <c r="D30" s="192">
        <v>0.6</v>
      </c>
      <c r="E30" s="192"/>
      <c r="F30" s="18">
        <f>D30/D51</f>
        <v>2.7462467960454044E-3</v>
      </c>
    </row>
    <row r="31" spans="2:6" s="4" customFormat="1" ht="24.95" customHeight="1" x14ac:dyDescent="0.2">
      <c r="B31" s="196"/>
      <c r="C31" s="42" t="s">
        <v>39</v>
      </c>
      <c r="D31" s="192">
        <f>7.4+5.06+7.94+5.44</f>
        <v>25.840000000000003</v>
      </c>
      <c r="E31" s="192"/>
      <c r="F31" s="18">
        <f>D31/D51</f>
        <v>0.11827169534968877</v>
      </c>
    </row>
    <row r="32" spans="2:6" s="4" customFormat="1" ht="24.95" customHeight="1" x14ac:dyDescent="0.2">
      <c r="B32" s="196"/>
      <c r="C32" s="42" t="s">
        <v>38</v>
      </c>
      <c r="D32" s="192">
        <f>16.54+5.26</f>
        <v>21.799999999999997</v>
      </c>
      <c r="E32" s="192"/>
      <c r="F32" s="18">
        <f>D32/D51</f>
        <v>9.9780300256316359E-2</v>
      </c>
    </row>
    <row r="33" spans="2:6" s="4" customFormat="1" ht="24.95" customHeight="1" x14ac:dyDescent="0.2">
      <c r="B33" s="196"/>
      <c r="C33" s="42" t="s">
        <v>27</v>
      </c>
      <c r="D33" s="192">
        <f>1.08+3.18</f>
        <v>4.26</v>
      </c>
      <c r="E33" s="192"/>
      <c r="F33" s="18">
        <f>D33/D51</f>
        <v>1.9498352251922372E-2</v>
      </c>
    </row>
    <row r="34" spans="2:6" s="4" customFormat="1" ht="24.95" customHeight="1" x14ac:dyDescent="0.2">
      <c r="B34" s="196"/>
      <c r="C34" s="43" t="s">
        <v>28</v>
      </c>
      <c r="D34" s="192">
        <f>7.86+5.3+8.14</f>
        <v>21.3</v>
      </c>
      <c r="E34" s="192"/>
      <c r="F34" s="18">
        <f>D34/D51</f>
        <v>9.749176125961187E-2</v>
      </c>
    </row>
    <row r="35" spans="2:6" s="4" customFormat="1" ht="24.95" customHeight="1" x14ac:dyDescent="0.2">
      <c r="B35" s="196"/>
      <c r="C35" s="43" t="s">
        <v>29</v>
      </c>
      <c r="D35" s="192">
        <v>1.2</v>
      </c>
      <c r="E35" s="192"/>
      <c r="F35" s="18">
        <f>D35/D51</f>
        <v>5.4924935920908089E-3</v>
      </c>
    </row>
    <row r="36" spans="2:6" s="4" customFormat="1" ht="24.95" customHeight="1" x14ac:dyDescent="0.2">
      <c r="B36" s="196"/>
      <c r="C36" s="43" t="s">
        <v>30</v>
      </c>
      <c r="D36" s="192">
        <f>19.9+6.98</f>
        <v>26.88</v>
      </c>
      <c r="E36" s="192"/>
      <c r="F36" s="18">
        <f>D36/D51</f>
        <v>0.12303185646283413</v>
      </c>
    </row>
    <row r="37" spans="2:6" s="4" customFormat="1" ht="24.95" customHeight="1" x14ac:dyDescent="0.2">
      <c r="B37" s="196"/>
      <c r="C37" s="43" t="s">
        <v>40</v>
      </c>
      <c r="D37" s="192">
        <f>7.02+3.34</f>
        <v>10.36</v>
      </c>
      <c r="E37" s="192"/>
      <c r="F37" s="18">
        <f>D37/D51</f>
        <v>4.7418528011717316E-2</v>
      </c>
    </row>
    <row r="38" spans="2:6" s="4" customFormat="1" ht="24.95" customHeight="1" thickBot="1" x14ac:dyDescent="0.25">
      <c r="B38" s="197"/>
      <c r="C38" s="35" t="s">
        <v>41</v>
      </c>
      <c r="D38" s="193">
        <f>11.54+5.2+6.9+12.18</f>
        <v>35.82</v>
      </c>
      <c r="E38" s="193"/>
      <c r="F38" s="19">
        <f>D38/D51</f>
        <v>0.16395093372391067</v>
      </c>
    </row>
    <row r="39" spans="2:6" s="4" customFormat="1" ht="12.75" customHeight="1" thickBot="1" x14ac:dyDescent="0.25">
      <c r="B39" s="198"/>
      <c r="C39" s="199"/>
      <c r="D39" s="199"/>
      <c r="E39" s="199"/>
      <c r="F39" s="200"/>
    </row>
    <row r="40" spans="2:6" s="4" customFormat="1" ht="24.95" customHeight="1" x14ac:dyDescent="0.2">
      <c r="B40" s="208" t="s">
        <v>31</v>
      </c>
      <c r="C40" s="30" t="s">
        <v>32</v>
      </c>
      <c r="D40" s="191">
        <v>1.94</v>
      </c>
      <c r="E40" s="191"/>
      <c r="F40" s="5">
        <f>+D40/D51</f>
        <v>8.8795313072134747E-3</v>
      </c>
    </row>
    <row r="41" spans="2:6" s="4" customFormat="1" ht="24.95" customHeight="1" x14ac:dyDescent="0.2">
      <c r="B41" s="209"/>
      <c r="C41" s="16" t="s">
        <v>28</v>
      </c>
      <c r="D41" s="192">
        <v>1.1599999999999999</v>
      </c>
      <c r="E41" s="192"/>
      <c r="F41" s="18">
        <f>+D41/D51</f>
        <v>5.3094104723544486E-3</v>
      </c>
    </row>
    <row r="42" spans="2:6" s="4" customFormat="1" ht="24.95" customHeight="1" x14ac:dyDescent="0.2">
      <c r="B42" s="209"/>
      <c r="C42" s="16" t="s">
        <v>30</v>
      </c>
      <c r="D42" s="192">
        <v>0.26</v>
      </c>
      <c r="E42" s="192"/>
      <c r="F42" s="18">
        <f>+D42/D51</f>
        <v>1.1900402782863422E-3</v>
      </c>
    </row>
    <row r="43" spans="2:6" s="4" customFormat="1" ht="24.95" customHeight="1" x14ac:dyDescent="0.2">
      <c r="B43" s="209"/>
      <c r="C43" s="16" t="s">
        <v>40</v>
      </c>
      <c r="D43" s="192">
        <v>0.96</v>
      </c>
      <c r="E43" s="192"/>
      <c r="F43" s="18">
        <f>+D43/D51</f>
        <v>4.3939948736726473E-3</v>
      </c>
    </row>
    <row r="44" spans="2:6" s="4" customFormat="1" ht="24.95" customHeight="1" x14ac:dyDescent="0.2">
      <c r="B44" s="209"/>
      <c r="C44" s="15" t="s">
        <v>43</v>
      </c>
      <c r="D44" s="192">
        <v>0.66</v>
      </c>
      <c r="E44" s="192"/>
      <c r="F44" s="18">
        <f>+D44/D51</f>
        <v>3.0208714756499453E-3</v>
      </c>
    </row>
    <row r="45" spans="2:6" s="4" customFormat="1" ht="24.95" customHeight="1" x14ac:dyDescent="0.2">
      <c r="B45" s="210"/>
      <c r="C45" s="26" t="s">
        <v>24</v>
      </c>
      <c r="D45" s="192">
        <v>0.32</v>
      </c>
      <c r="E45" s="192"/>
      <c r="F45" s="18">
        <f>+D45/D51</f>
        <v>1.4646649578908826E-3</v>
      </c>
    </row>
    <row r="46" spans="2:6" s="4" customFormat="1" ht="24.95" customHeight="1" x14ac:dyDescent="0.2">
      <c r="B46" s="210"/>
      <c r="C46" s="26" t="s">
        <v>39</v>
      </c>
      <c r="D46" s="192">
        <v>1.04</v>
      </c>
      <c r="E46" s="192"/>
      <c r="F46" s="18">
        <f>+D46/D51</f>
        <v>4.7601611131453687E-3</v>
      </c>
    </row>
    <row r="47" spans="2:6" s="4" customFormat="1" ht="24.95" customHeight="1" thickBot="1" x14ac:dyDescent="0.25">
      <c r="B47" s="211"/>
      <c r="C47" s="29" t="s">
        <v>44</v>
      </c>
      <c r="D47" s="193">
        <v>0.52</v>
      </c>
      <c r="E47" s="193"/>
      <c r="F47" s="19">
        <f>+D47/D51</f>
        <v>2.3800805565726843E-3</v>
      </c>
    </row>
    <row r="48" spans="2:6" s="4" customFormat="1" ht="12.75" customHeight="1" thickBot="1" x14ac:dyDescent="0.25">
      <c r="B48" s="198"/>
      <c r="C48" s="199"/>
      <c r="D48" s="199"/>
      <c r="E48" s="199"/>
      <c r="F48" s="200"/>
    </row>
    <row r="49" spans="2:7" s="4" customFormat="1" ht="24.95" customHeight="1" thickBot="1" x14ac:dyDescent="0.25">
      <c r="B49" s="24" t="s">
        <v>33</v>
      </c>
      <c r="C49" s="26" t="s">
        <v>42</v>
      </c>
      <c r="D49" s="201">
        <v>11.5</v>
      </c>
      <c r="E49" s="201"/>
      <c r="F49" s="25">
        <f>+D49/D51</f>
        <v>5.2636396924203591E-2</v>
      </c>
    </row>
    <row r="50" spans="2:7" s="4" customFormat="1" ht="13.5" thickBot="1" x14ac:dyDescent="0.25">
      <c r="B50" s="202"/>
      <c r="C50" s="203"/>
      <c r="D50" s="203"/>
      <c r="E50" s="203"/>
      <c r="F50" s="204"/>
    </row>
    <row r="51" spans="2:7" ht="30" customHeight="1" thickBot="1" x14ac:dyDescent="0.25">
      <c r="B51" s="212" t="s">
        <v>34</v>
      </c>
      <c r="C51" s="213"/>
      <c r="D51" s="214">
        <f>D19+D20+D21+D22+D23+D24+D26+D27+D28+D29+D30+D31+D32+D33+D34+D35+D36+D37+D38+D40+D41+D42+D43+D44+D45+D46+D47+D49</f>
        <v>218.48</v>
      </c>
      <c r="E51" s="214"/>
      <c r="F51" s="20">
        <f>F19+F20+F21+F22+F23+F24+F26+F27+F28+F29+F30+F31+F32+F33+F34+F35+F36+F37+F38+F40+F41+F42+F43+F44+F45+F46+F47+F49</f>
        <v>1.0000000000000002</v>
      </c>
    </row>
    <row r="52" spans="2:7" ht="9.75" customHeight="1" thickBot="1" x14ac:dyDescent="0.25">
      <c r="B52" s="215"/>
      <c r="C52" s="215"/>
      <c r="D52" s="215"/>
      <c r="E52" s="215"/>
      <c r="F52" s="215"/>
    </row>
    <row r="53" spans="2:7" ht="20.100000000000001" customHeight="1" thickBot="1" x14ac:dyDescent="0.25">
      <c r="B53" s="186" t="s">
        <v>35</v>
      </c>
      <c r="C53" s="187"/>
      <c r="D53" s="187"/>
      <c r="E53" s="187"/>
      <c r="F53" s="216"/>
    </row>
    <row r="54" spans="2:7" ht="27.95" customHeight="1" x14ac:dyDescent="0.2">
      <c r="B54" s="217" t="s">
        <v>101</v>
      </c>
      <c r="C54" s="218"/>
      <c r="D54" s="218"/>
      <c r="E54" s="218"/>
      <c r="F54" s="219"/>
    </row>
    <row r="55" spans="2:7" ht="27.95" customHeight="1" thickBot="1" x14ac:dyDescent="0.25">
      <c r="B55" s="220"/>
      <c r="C55" s="221"/>
      <c r="D55" s="221"/>
      <c r="E55" s="221"/>
      <c r="F55" s="222"/>
    </row>
    <row r="56" spans="2:7" ht="9.9499999999999993" customHeight="1" x14ac:dyDescent="0.2">
      <c r="G56" s="6"/>
    </row>
    <row r="57" spans="2:7" ht="15" customHeight="1" x14ac:dyDescent="0.2">
      <c r="G57" s="6"/>
    </row>
    <row r="58" spans="2:7" ht="12.75" customHeight="1" x14ac:dyDescent="0.2"/>
    <row r="59" spans="2:7" ht="12.75" customHeight="1" x14ac:dyDescent="0.2"/>
  </sheetData>
  <mergeCells count="64">
    <mergeCell ref="B53:F53"/>
    <mergeCell ref="B54:F55"/>
    <mergeCell ref="B48:F48"/>
    <mergeCell ref="D49:E49"/>
    <mergeCell ref="B50:F50"/>
    <mergeCell ref="B51:C51"/>
    <mergeCell ref="D51:E51"/>
    <mergeCell ref="B52:F52"/>
    <mergeCell ref="B40:B47"/>
    <mergeCell ref="D40:E40"/>
    <mergeCell ref="D41:E41"/>
    <mergeCell ref="D42:E42"/>
    <mergeCell ref="D43:E43"/>
    <mergeCell ref="D44:E44"/>
    <mergeCell ref="D45:E45"/>
    <mergeCell ref="D46:E46"/>
    <mergeCell ref="D47:E47"/>
    <mergeCell ref="B39:F39"/>
    <mergeCell ref="B25:F25"/>
    <mergeCell ref="B26:B3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B19:B24"/>
    <mergeCell ref="D19:E19"/>
    <mergeCell ref="D20:E20"/>
    <mergeCell ref="D21:E21"/>
    <mergeCell ref="D22:E22"/>
    <mergeCell ref="D23:E23"/>
    <mergeCell ref="D24:E24"/>
    <mergeCell ref="B15:C15"/>
    <mergeCell ref="D15:E15"/>
    <mergeCell ref="B16:F16"/>
    <mergeCell ref="B17:F17"/>
    <mergeCell ref="B18:C18"/>
    <mergeCell ref="D18:E18"/>
    <mergeCell ref="B11:C11"/>
    <mergeCell ref="D11:E11"/>
    <mergeCell ref="B12:F12"/>
    <mergeCell ref="B13:F13"/>
    <mergeCell ref="B14:C14"/>
    <mergeCell ref="D14:E14"/>
    <mergeCell ref="B8:C8"/>
    <mergeCell ref="D8:F8"/>
    <mergeCell ref="B9:C9"/>
    <mergeCell ref="D9:F9"/>
    <mergeCell ref="B10:C10"/>
    <mergeCell ref="D10:F10"/>
    <mergeCell ref="B1:B4"/>
    <mergeCell ref="C1:E4"/>
    <mergeCell ref="F1:F4"/>
    <mergeCell ref="B6:F6"/>
    <mergeCell ref="B7:C7"/>
    <mergeCell ref="D7:F7"/>
  </mergeCells>
  <conditionalFormatting sqref="F51">
    <cfRule type="expression" dxfId="17" priority="2" stopIfTrue="1">
      <formula>$D$51=0</formula>
    </cfRule>
  </conditionalFormatting>
  <conditionalFormatting sqref="D51:E51">
    <cfRule type="cellIs" dxfId="16" priority="1" stopIfTrue="1" operator="equal">
      <formula>0</formula>
    </cfRule>
  </conditionalFormatting>
  <printOptions horizontalCentered="1"/>
  <pageMargins left="0" right="0" top="0.15748031496062992" bottom="0" header="0.23622047244094491" footer="0.31496062992125984"/>
  <pageSetup paperSize="9" scale="7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1:G59"/>
  <sheetViews>
    <sheetView workbookViewId="0">
      <selection activeCell="H46" sqref="H46"/>
    </sheetView>
  </sheetViews>
  <sheetFormatPr baseColWidth="10" defaultRowHeight="12.75" x14ac:dyDescent="0.2"/>
  <cols>
    <col min="1" max="1" width="1.7109375" customWidth="1"/>
    <col min="2" max="2" width="24.85546875" customWidth="1"/>
    <col min="3" max="3" width="46.7109375" bestFit="1" customWidth="1"/>
    <col min="5" max="5" width="18.5703125" customWidth="1"/>
    <col min="6" max="6" width="24.28515625" bestFit="1" customWidth="1"/>
  </cols>
  <sheetData>
    <row r="1" spans="2:6" ht="12.75" customHeight="1" x14ac:dyDescent="0.2">
      <c r="B1" s="150" t="s">
        <v>0</v>
      </c>
      <c r="C1" s="153" t="s">
        <v>1</v>
      </c>
      <c r="D1" s="153"/>
      <c r="E1" s="154"/>
      <c r="F1" s="159" t="s">
        <v>2</v>
      </c>
    </row>
    <row r="2" spans="2:6" ht="12.75" customHeight="1" x14ac:dyDescent="0.2">
      <c r="B2" s="151"/>
      <c r="C2" s="155"/>
      <c r="D2" s="155"/>
      <c r="E2" s="156"/>
      <c r="F2" s="160"/>
    </row>
    <row r="3" spans="2:6" ht="12.75" customHeight="1" x14ac:dyDescent="0.2">
      <c r="B3" s="151"/>
      <c r="C3" s="155"/>
      <c r="D3" s="155"/>
      <c r="E3" s="156"/>
      <c r="F3" s="160"/>
    </row>
    <row r="4" spans="2:6" ht="13.5" customHeight="1" thickBot="1" x14ac:dyDescent="0.25">
      <c r="B4" s="152"/>
      <c r="C4" s="157"/>
      <c r="D4" s="157"/>
      <c r="E4" s="158"/>
      <c r="F4" s="161"/>
    </row>
    <row r="5" spans="2:6" ht="9.9499999999999993" customHeight="1" thickBot="1" x14ac:dyDescent="0.25">
      <c r="B5" s="1"/>
      <c r="C5" s="34"/>
      <c r="D5" s="34"/>
      <c r="E5" s="34"/>
      <c r="F5" s="2"/>
    </row>
    <row r="6" spans="2:6" ht="20.100000000000001" customHeight="1" thickBot="1" x14ac:dyDescent="0.3">
      <c r="B6" s="162" t="s">
        <v>3</v>
      </c>
      <c r="C6" s="163"/>
      <c r="D6" s="163"/>
      <c r="E6" s="163"/>
      <c r="F6" s="164"/>
    </row>
    <row r="7" spans="2:6" ht="20.100000000000001" customHeight="1" x14ac:dyDescent="0.2">
      <c r="B7" s="165" t="s">
        <v>4</v>
      </c>
      <c r="C7" s="166"/>
      <c r="D7" s="167" t="s">
        <v>5</v>
      </c>
      <c r="E7" s="167"/>
      <c r="F7" s="168"/>
    </row>
    <row r="8" spans="2:6" ht="20.100000000000001" customHeight="1" x14ac:dyDescent="0.2">
      <c r="B8" s="169" t="s">
        <v>6</v>
      </c>
      <c r="C8" s="170"/>
      <c r="D8" s="171" t="s">
        <v>36</v>
      </c>
      <c r="E8" s="171"/>
      <c r="F8" s="172"/>
    </row>
    <row r="9" spans="2:6" ht="20.100000000000001" customHeight="1" x14ac:dyDescent="0.2">
      <c r="B9" s="169" t="s">
        <v>7</v>
      </c>
      <c r="C9" s="170"/>
      <c r="D9" s="171" t="s">
        <v>105</v>
      </c>
      <c r="E9" s="171"/>
      <c r="F9" s="172"/>
    </row>
    <row r="10" spans="2:6" ht="20.100000000000001" customHeight="1" x14ac:dyDescent="0.2">
      <c r="B10" s="169" t="s">
        <v>8</v>
      </c>
      <c r="C10" s="170"/>
      <c r="D10" s="173" t="s">
        <v>106</v>
      </c>
      <c r="E10" s="173"/>
      <c r="F10" s="174"/>
    </row>
    <row r="11" spans="2:6" ht="20.100000000000001" customHeight="1" thickBot="1" x14ac:dyDescent="0.25">
      <c r="B11" s="175" t="s">
        <v>9</v>
      </c>
      <c r="C11" s="176"/>
      <c r="D11" s="177">
        <v>43609</v>
      </c>
      <c r="E11" s="178"/>
      <c r="F11" s="3">
        <v>6.62</v>
      </c>
    </row>
    <row r="12" spans="2:6" ht="9.9499999999999993" customHeight="1" thickBot="1" x14ac:dyDescent="0.25">
      <c r="B12" s="179"/>
      <c r="C12" s="179"/>
      <c r="D12" s="179"/>
      <c r="E12" s="179"/>
      <c r="F12" s="179"/>
    </row>
    <row r="13" spans="2:6" ht="20.100000000000001" customHeight="1" thickBot="1" x14ac:dyDescent="0.25">
      <c r="B13" s="180" t="s">
        <v>10</v>
      </c>
      <c r="C13" s="181"/>
      <c r="D13" s="181"/>
      <c r="E13" s="181"/>
      <c r="F13" s="182"/>
    </row>
    <row r="14" spans="2:6" ht="20.100000000000001" customHeight="1" x14ac:dyDescent="0.2">
      <c r="B14" s="183" t="s">
        <v>11</v>
      </c>
      <c r="C14" s="184"/>
      <c r="D14" s="185" t="s">
        <v>91</v>
      </c>
      <c r="E14" s="185"/>
      <c r="F14" s="27" t="s">
        <v>99</v>
      </c>
    </row>
    <row r="15" spans="2:6" ht="20.100000000000001" customHeight="1" thickBot="1" x14ac:dyDescent="0.25">
      <c r="B15" s="175" t="s">
        <v>12</v>
      </c>
      <c r="C15" s="176"/>
      <c r="D15" s="177">
        <v>43612</v>
      </c>
      <c r="E15" s="177"/>
      <c r="F15" s="17" t="s">
        <v>107</v>
      </c>
    </row>
    <row r="16" spans="2:6" ht="9.9499999999999993" customHeight="1" thickBot="1" x14ac:dyDescent="0.25">
      <c r="B16" s="179"/>
      <c r="C16" s="179"/>
      <c r="D16" s="179"/>
      <c r="E16" s="179"/>
      <c r="F16" s="179"/>
    </row>
    <row r="17" spans="2:6" ht="20.100000000000001" customHeight="1" thickBot="1" x14ac:dyDescent="0.25">
      <c r="B17" s="180" t="s">
        <v>13</v>
      </c>
      <c r="C17" s="181"/>
      <c r="D17" s="181"/>
      <c r="E17" s="181"/>
      <c r="F17" s="182"/>
    </row>
    <row r="18" spans="2:6" ht="15.75" thickBot="1" x14ac:dyDescent="0.25">
      <c r="B18" s="186" t="s">
        <v>14</v>
      </c>
      <c r="C18" s="187"/>
      <c r="D18" s="187" t="s">
        <v>15</v>
      </c>
      <c r="E18" s="187"/>
      <c r="F18" s="39" t="s">
        <v>16</v>
      </c>
    </row>
    <row r="19" spans="2:6" s="4" customFormat="1" ht="24.95" customHeight="1" x14ac:dyDescent="0.2">
      <c r="B19" s="188" t="s">
        <v>17</v>
      </c>
      <c r="C19" s="38" t="s">
        <v>18</v>
      </c>
      <c r="D19" s="191">
        <v>0</v>
      </c>
      <c r="E19" s="191"/>
      <c r="F19" s="5">
        <f>+D19/D51</f>
        <v>0</v>
      </c>
    </row>
    <row r="20" spans="2:6" s="4" customFormat="1" ht="24.95" customHeight="1" x14ac:dyDescent="0.2">
      <c r="B20" s="189"/>
      <c r="C20" s="15" t="s">
        <v>19</v>
      </c>
      <c r="D20" s="192">
        <v>1.6</v>
      </c>
      <c r="E20" s="192"/>
      <c r="F20" s="18">
        <f>+D20/D51</f>
        <v>4.3067481359855744E-3</v>
      </c>
    </row>
    <row r="21" spans="2:6" s="4" customFormat="1" ht="24.95" customHeight="1" x14ac:dyDescent="0.2">
      <c r="B21" s="189"/>
      <c r="C21" s="15" t="s">
        <v>20</v>
      </c>
      <c r="D21" s="192">
        <v>0.76</v>
      </c>
      <c r="E21" s="192"/>
      <c r="F21" s="18">
        <f>+D21/D51</f>
        <v>2.0457053645931474E-3</v>
      </c>
    </row>
    <row r="22" spans="2:6" s="4" customFormat="1" ht="24.95" customHeight="1" x14ac:dyDescent="0.2">
      <c r="B22" s="189"/>
      <c r="C22" s="15" t="s">
        <v>21</v>
      </c>
      <c r="D22" s="192">
        <v>1.74</v>
      </c>
      <c r="E22" s="192"/>
      <c r="F22" s="18">
        <f>+D22/D51</f>
        <v>4.6835885978843113E-3</v>
      </c>
    </row>
    <row r="23" spans="2:6" s="4" customFormat="1" ht="24.95" customHeight="1" x14ac:dyDescent="0.2">
      <c r="B23" s="189"/>
      <c r="C23" s="15" t="s">
        <v>22</v>
      </c>
      <c r="D23" s="192">
        <v>0.92</v>
      </c>
      <c r="E23" s="192"/>
      <c r="F23" s="18">
        <f>+D23/D51</f>
        <v>2.4763801781917051E-3</v>
      </c>
    </row>
    <row r="24" spans="2:6" s="4" customFormat="1" ht="24.95" customHeight="1" thickBot="1" x14ac:dyDescent="0.25">
      <c r="B24" s="190"/>
      <c r="C24" s="36" t="s">
        <v>37</v>
      </c>
      <c r="D24" s="193">
        <f>11.36+13.76+6.66</f>
        <v>31.779999999999998</v>
      </c>
      <c r="E24" s="193"/>
      <c r="F24" s="19">
        <f>+D24/D51</f>
        <v>8.5542784851013451E-2</v>
      </c>
    </row>
    <row r="25" spans="2:6" s="4" customFormat="1" ht="13.5" thickBot="1" x14ac:dyDescent="0.25">
      <c r="B25" s="205"/>
      <c r="C25" s="206"/>
      <c r="D25" s="206"/>
      <c r="E25" s="206"/>
      <c r="F25" s="207"/>
    </row>
    <row r="26" spans="2:6" s="4" customFormat="1" ht="24.95" customHeight="1" x14ac:dyDescent="0.2">
      <c r="B26" s="194" t="s">
        <v>23</v>
      </c>
      <c r="C26" s="37" t="s">
        <v>24</v>
      </c>
      <c r="D26" s="191">
        <v>1.5</v>
      </c>
      <c r="E26" s="191"/>
      <c r="F26" s="5">
        <f>+D26/D51</f>
        <v>4.0375763774864754E-3</v>
      </c>
    </row>
    <row r="27" spans="2:6" s="4" customFormat="1" ht="24.95" customHeight="1" x14ac:dyDescent="0.2">
      <c r="B27" s="195"/>
      <c r="C27" s="42" t="s">
        <v>43</v>
      </c>
      <c r="D27" s="192">
        <f>2.94+2.96+6.44</f>
        <v>12.34</v>
      </c>
      <c r="E27" s="192"/>
      <c r="F27" s="18">
        <f>+D27/D51</f>
        <v>3.3215794998788739E-2</v>
      </c>
    </row>
    <row r="28" spans="2:6" s="4" customFormat="1" ht="24.95" customHeight="1" x14ac:dyDescent="0.2">
      <c r="B28" s="196"/>
      <c r="C28" s="42" t="s">
        <v>25</v>
      </c>
      <c r="D28" s="192">
        <f>11.22+6.04</f>
        <v>17.260000000000002</v>
      </c>
      <c r="E28" s="192"/>
      <c r="F28" s="18">
        <f>D28/D51</f>
        <v>4.6459045516944381E-2</v>
      </c>
    </row>
    <row r="29" spans="2:6" s="4" customFormat="1" ht="24.95" customHeight="1" x14ac:dyDescent="0.2">
      <c r="B29" s="196"/>
      <c r="C29" s="42" t="s">
        <v>26</v>
      </c>
      <c r="D29" s="192">
        <f>6.88+7.18+6.94</f>
        <v>21</v>
      </c>
      <c r="E29" s="192"/>
      <c r="F29" s="18">
        <f>D29/D51</f>
        <v>5.6526069284810659E-2</v>
      </c>
    </row>
    <row r="30" spans="2:6" s="4" customFormat="1" ht="24.95" customHeight="1" x14ac:dyDescent="0.2">
      <c r="B30" s="196"/>
      <c r="C30" s="42" t="s">
        <v>21</v>
      </c>
      <c r="D30" s="192">
        <v>0.64</v>
      </c>
      <c r="E30" s="192"/>
      <c r="F30" s="18">
        <f>D30/D51</f>
        <v>1.7226992543942295E-3</v>
      </c>
    </row>
    <row r="31" spans="2:6" s="4" customFormat="1" ht="24.95" customHeight="1" x14ac:dyDescent="0.2">
      <c r="B31" s="196"/>
      <c r="C31" s="42" t="s">
        <v>39</v>
      </c>
      <c r="D31" s="192">
        <f>13.5+18.2+16.1+7.74+8.4+10.98</f>
        <v>74.92</v>
      </c>
      <c r="E31" s="192"/>
      <c r="F31" s="18">
        <f>D31/D51</f>
        <v>0.2016634814675245</v>
      </c>
    </row>
    <row r="32" spans="2:6" s="4" customFormat="1" ht="24.95" customHeight="1" x14ac:dyDescent="0.2">
      <c r="B32" s="196"/>
      <c r="C32" s="42" t="s">
        <v>38</v>
      </c>
      <c r="D32" s="192">
        <v>7.62</v>
      </c>
      <c r="E32" s="192"/>
      <c r="F32" s="18">
        <f>D32/D51</f>
        <v>2.0510887997631295E-2</v>
      </c>
    </row>
    <row r="33" spans="2:6" s="4" customFormat="1" ht="24.95" customHeight="1" x14ac:dyDescent="0.2">
      <c r="B33" s="196"/>
      <c r="C33" s="42" t="s">
        <v>27</v>
      </c>
      <c r="D33" s="192">
        <v>7.12</v>
      </c>
      <c r="E33" s="192"/>
      <c r="F33" s="18">
        <f>D33/D51</f>
        <v>1.9165029205135804E-2</v>
      </c>
    </row>
    <row r="34" spans="2:6" s="4" customFormat="1" ht="24.95" customHeight="1" x14ac:dyDescent="0.2">
      <c r="B34" s="196"/>
      <c r="C34" s="43" t="s">
        <v>28</v>
      </c>
      <c r="D34" s="192">
        <f>12.1+13.38+11.28+11.2</f>
        <v>47.959999999999994</v>
      </c>
      <c r="E34" s="192"/>
      <c r="F34" s="18">
        <f>D34/D51</f>
        <v>0.12909477537616756</v>
      </c>
    </row>
    <row r="35" spans="2:6" s="4" customFormat="1" ht="24.95" customHeight="1" x14ac:dyDescent="0.2">
      <c r="B35" s="196"/>
      <c r="C35" s="43" t="s">
        <v>29</v>
      </c>
      <c r="D35" s="192">
        <v>0.98</v>
      </c>
      <c r="E35" s="192"/>
      <c r="F35" s="18">
        <f>D35/D51</f>
        <v>2.6378832332911639E-3</v>
      </c>
    </row>
    <row r="36" spans="2:6" s="4" customFormat="1" ht="24.95" customHeight="1" x14ac:dyDescent="0.2">
      <c r="B36" s="196"/>
      <c r="C36" s="43" t="s">
        <v>30</v>
      </c>
      <c r="D36" s="192">
        <f>15.36+6.6</f>
        <v>21.96</v>
      </c>
      <c r="E36" s="192"/>
      <c r="F36" s="18">
        <f>D36/D51</f>
        <v>5.9110118166402E-2</v>
      </c>
    </row>
    <row r="37" spans="2:6" s="4" customFormat="1" ht="24.95" customHeight="1" x14ac:dyDescent="0.2">
      <c r="B37" s="196"/>
      <c r="C37" s="43" t="s">
        <v>40</v>
      </c>
      <c r="D37" s="192">
        <f>12.74+9.48+4.49</f>
        <v>26.71</v>
      </c>
      <c r="E37" s="192"/>
      <c r="F37" s="18">
        <f>D37/D51</f>
        <v>7.1895776695109173E-2</v>
      </c>
    </row>
    <row r="38" spans="2:6" s="4" customFormat="1" ht="24.95" customHeight="1" thickBot="1" x14ac:dyDescent="0.25">
      <c r="B38" s="197"/>
      <c r="C38" s="35" t="s">
        <v>41</v>
      </c>
      <c r="D38" s="193">
        <f>12.52+10.64+7.04+9.58+12.08+7.24</f>
        <v>59.1</v>
      </c>
      <c r="E38" s="193"/>
      <c r="F38" s="19">
        <f>D38/D51</f>
        <v>0.15908050927296713</v>
      </c>
    </row>
    <row r="39" spans="2:6" s="4" customFormat="1" ht="12.75" customHeight="1" thickBot="1" x14ac:dyDescent="0.25">
      <c r="B39" s="198"/>
      <c r="C39" s="199"/>
      <c r="D39" s="199"/>
      <c r="E39" s="199"/>
      <c r="F39" s="200"/>
    </row>
    <row r="40" spans="2:6" s="4" customFormat="1" ht="24.95" customHeight="1" x14ac:dyDescent="0.2">
      <c r="B40" s="208" t="s">
        <v>31</v>
      </c>
      <c r="C40" s="38" t="s">
        <v>32</v>
      </c>
      <c r="D40" s="191">
        <v>0.26</v>
      </c>
      <c r="E40" s="191"/>
      <c r="F40" s="5">
        <f>+D40/D51</f>
        <v>6.9984657209765577E-4</v>
      </c>
    </row>
    <row r="41" spans="2:6" s="4" customFormat="1" ht="24.95" customHeight="1" x14ac:dyDescent="0.2">
      <c r="B41" s="209"/>
      <c r="C41" s="16" t="s">
        <v>28</v>
      </c>
      <c r="D41" s="192">
        <v>1.46</v>
      </c>
      <c r="E41" s="192"/>
      <c r="F41" s="18">
        <f>+D41/D51</f>
        <v>3.9299076740868357E-3</v>
      </c>
    </row>
    <row r="42" spans="2:6" s="4" customFormat="1" ht="24.95" customHeight="1" x14ac:dyDescent="0.2">
      <c r="B42" s="209"/>
      <c r="C42" s="16" t="s">
        <v>30</v>
      </c>
      <c r="D42" s="192">
        <v>1.2</v>
      </c>
      <c r="E42" s="192"/>
      <c r="F42" s="18">
        <f>+D42/D51</f>
        <v>3.2300611019891803E-3</v>
      </c>
    </row>
    <row r="43" spans="2:6" s="4" customFormat="1" ht="24.95" customHeight="1" x14ac:dyDescent="0.2">
      <c r="B43" s="209"/>
      <c r="C43" s="16" t="s">
        <v>40</v>
      </c>
      <c r="D43" s="192">
        <v>0.78</v>
      </c>
      <c r="E43" s="192"/>
      <c r="F43" s="18">
        <f>+D43/D51</f>
        <v>2.0995397162929673E-3</v>
      </c>
    </row>
    <row r="44" spans="2:6" s="4" customFormat="1" ht="24.95" customHeight="1" x14ac:dyDescent="0.2">
      <c r="B44" s="209"/>
      <c r="C44" s="15" t="s">
        <v>43</v>
      </c>
      <c r="D44" s="192">
        <v>2.2799999999999998</v>
      </c>
      <c r="E44" s="192"/>
      <c r="F44" s="18">
        <f>+D44/D51</f>
        <v>6.1371160937794423E-3</v>
      </c>
    </row>
    <row r="45" spans="2:6" s="4" customFormat="1" ht="24.95" customHeight="1" x14ac:dyDescent="0.2">
      <c r="B45" s="210"/>
      <c r="C45" s="26" t="s">
        <v>24</v>
      </c>
      <c r="D45" s="192">
        <v>0</v>
      </c>
      <c r="E45" s="192"/>
      <c r="F45" s="18">
        <f>+D45/D51</f>
        <v>0</v>
      </c>
    </row>
    <row r="46" spans="2:6" s="4" customFormat="1" ht="24.95" customHeight="1" x14ac:dyDescent="0.2">
      <c r="B46" s="210"/>
      <c r="C46" s="26" t="s">
        <v>39</v>
      </c>
      <c r="D46" s="192">
        <v>1.26</v>
      </c>
      <c r="E46" s="192"/>
      <c r="F46" s="18">
        <f>+D46/D51</f>
        <v>3.3915641570886395E-3</v>
      </c>
    </row>
    <row r="47" spans="2:6" s="4" customFormat="1" ht="24.95" customHeight="1" thickBot="1" x14ac:dyDescent="0.25">
      <c r="B47" s="211"/>
      <c r="C47" s="36" t="s">
        <v>44</v>
      </c>
      <c r="D47" s="193">
        <v>0.96</v>
      </c>
      <c r="E47" s="193"/>
      <c r="F47" s="19">
        <f>+D47/D51</f>
        <v>2.584048881591344E-3</v>
      </c>
    </row>
    <row r="48" spans="2:6" s="4" customFormat="1" ht="12.75" customHeight="1" thickBot="1" x14ac:dyDescent="0.25">
      <c r="B48" s="198"/>
      <c r="C48" s="199"/>
      <c r="D48" s="199"/>
      <c r="E48" s="199"/>
      <c r="F48" s="200"/>
    </row>
    <row r="49" spans="2:7" s="4" customFormat="1" ht="24.95" customHeight="1" thickBot="1" x14ac:dyDescent="0.25">
      <c r="B49" s="24" t="s">
        <v>33</v>
      </c>
      <c r="C49" s="26" t="s">
        <v>42</v>
      </c>
      <c r="D49" s="201">
        <v>27.4</v>
      </c>
      <c r="E49" s="201"/>
      <c r="F49" s="25">
        <f>+D49/D51</f>
        <v>7.375306182875295E-2</v>
      </c>
    </row>
    <row r="50" spans="2:7" s="4" customFormat="1" ht="13.5" thickBot="1" x14ac:dyDescent="0.25">
      <c r="B50" s="202"/>
      <c r="C50" s="203"/>
      <c r="D50" s="203"/>
      <c r="E50" s="203"/>
      <c r="F50" s="204"/>
    </row>
    <row r="51" spans="2:7" ht="30" customHeight="1" thickBot="1" x14ac:dyDescent="0.25">
      <c r="B51" s="212" t="s">
        <v>34</v>
      </c>
      <c r="C51" s="213"/>
      <c r="D51" s="214">
        <f>D19+D20+D21+D22+D23+D24+D26+D27+D28+D29+D30+D31+D32+D33+D34+D35+D36+D37+D38+D40+D41+D42+D43+D44+D45+D46+D47+D49</f>
        <v>371.50999999999988</v>
      </c>
      <c r="E51" s="214"/>
      <c r="F51" s="20">
        <f>F19+F20+F21+F22+F23+F24+F26+F27+F28+F29+F30+F31+F32+F33+F34+F35+F36+F37+F38+F40+F41+F42+F43+F44+F45+F46+F47+F49</f>
        <v>1.0000000000000002</v>
      </c>
    </row>
    <row r="52" spans="2:7" ht="9.75" customHeight="1" thickBot="1" x14ac:dyDescent="0.25">
      <c r="B52" s="215"/>
      <c r="C52" s="215"/>
      <c r="D52" s="215"/>
      <c r="E52" s="215"/>
      <c r="F52" s="215"/>
    </row>
    <row r="53" spans="2:7" ht="20.100000000000001" customHeight="1" thickBot="1" x14ac:dyDescent="0.25">
      <c r="B53" s="186" t="s">
        <v>35</v>
      </c>
      <c r="C53" s="187"/>
      <c r="D53" s="187"/>
      <c r="E53" s="187"/>
      <c r="F53" s="216"/>
    </row>
    <row r="54" spans="2:7" ht="27.95" customHeight="1" x14ac:dyDescent="0.2">
      <c r="B54" s="217" t="s">
        <v>109</v>
      </c>
      <c r="C54" s="218"/>
      <c r="D54" s="218"/>
      <c r="E54" s="218"/>
      <c r="F54" s="219"/>
    </row>
    <row r="55" spans="2:7" ht="27.95" customHeight="1" thickBot="1" x14ac:dyDescent="0.25">
      <c r="B55" s="220"/>
      <c r="C55" s="221"/>
      <c r="D55" s="221"/>
      <c r="E55" s="221"/>
      <c r="F55" s="222"/>
    </row>
    <row r="56" spans="2:7" ht="9.9499999999999993" customHeight="1" x14ac:dyDescent="0.2">
      <c r="G56" s="6"/>
    </row>
    <row r="57" spans="2:7" ht="15" customHeight="1" x14ac:dyDescent="0.2">
      <c r="G57" s="6"/>
    </row>
    <row r="58" spans="2:7" ht="12.75" customHeight="1" x14ac:dyDescent="0.2"/>
    <row r="59" spans="2:7" ht="12.75" customHeight="1" x14ac:dyDescent="0.2"/>
  </sheetData>
  <mergeCells count="64">
    <mergeCell ref="B1:B4"/>
    <mergeCell ref="C1:E4"/>
    <mergeCell ref="F1:F4"/>
    <mergeCell ref="B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E11"/>
    <mergeCell ref="B12:F12"/>
    <mergeCell ref="B13:F13"/>
    <mergeCell ref="B14:C14"/>
    <mergeCell ref="D14:E14"/>
    <mergeCell ref="B15:C15"/>
    <mergeCell ref="D15:E15"/>
    <mergeCell ref="B16:F16"/>
    <mergeCell ref="B17:F17"/>
    <mergeCell ref="B18:C18"/>
    <mergeCell ref="D18:E18"/>
    <mergeCell ref="B19:B24"/>
    <mergeCell ref="D19:E19"/>
    <mergeCell ref="D20:E20"/>
    <mergeCell ref="D21:E21"/>
    <mergeCell ref="D22:E22"/>
    <mergeCell ref="D23:E23"/>
    <mergeCell ref="D24:E24"/>
    <mergeCell ref="B39:F39"/>
    <mergeCell ref="B25:F25"/>
    <mergeCell ref="B26:B3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B40:B47"/>
    <mergeCell ref="D40:E40"/>
    <mergeCell ref="D41:E41"/>
    <mergeCell ref="D42:E42"/>
    <mergeCell ref="D43:E43"/>
    <mergeCell ref="D44:E44"/>
    <mergeCell ref="D45:E45"/>
    <mergeCell ref="D46:E46"/>
    <mergeCell ref="D47:E47"/>
    <mergeCell ref="B53:F53"/>
    <mergeCell ref="B54:F55"/>
    <mergeCell ref="B48:F48"/>
    <mergeCell ref="D49:E49"/>
    <mergeCell ref="B50:F50"/>
    <mergeCell ref="B51:C51"/>
    <mergeCell ref="D51:E51"/>
    <mergeCell ref="B52:F52"/>
  </mergeCells>
  <conditionalFormatting sqref="F51">
    <cfRule type="expression" dxfId="15" priority="2" stopIfTrue="1">
      <formula>$D$51=0</formula>
    </cfRule>
  </conditionalFormatting>
  <conditionalFormatting sqref="D51:E51">
    <cfRule type="cellIs" dxfId="14" priority="1" stopIfTrue="1" operator="equal">
      <formula>0</formula>
    </cfRule>
  </conditionalFormatting>
  <printOptions horizontalCentered="1"/>
  <pageMargins left="0" right="0" top="0.15748031496062992" bottom="0" header="0.23622047244094491" footer="0.31496062992125984"/>
  <pageSetup paperSize="9" scale="7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G59"/>
  <sheetViews>
    <sheetView tabSelected="1" workbookViewId="0">
      <selection activeCell="D15" sqref="D15:E15"/>
    </sheetView>
  </sheetViews>
  <sheetFormatPr baseColWidth="10" defaultRowHeight="12.75" x14ac:dyDescent="0.2"/>
  <cols>
    <col min="1" max="1" width="1.7109375" customWidth="1"/>
    <col min="2" max="2" width="24.85546875" customWidth="1"/>
    <col min="3" max="3" width="46.7109375" bestFit="1" customWidth="1"/>
    <col min="5" max="5" width="18.5703125" customWidth="1"/>
    <col min="6" max="6" width="24.28515625" bestFit="1" customWidth="1"/>
  </cols>
  <sheetData>
    <row r="1" spans="2:6" ht="12.75" customHeight="1" x14ac:dyDescent="0.2">
      <c r="B1" s="150" t="s">
        <v>0</v>
      </c>
      <c r="C1" s="153" t="s">
        <v>1</v>
      </c>
      <c r="D1" s="153"/>
      <c r="E1" s="154"/>
      <c r="F1" s="159" t="s">
        <v>2</v>
      </c>
    </row>
    <row r="2" spans="2:6" ht="12.75" customHeight="1" x14ac:dyDescent="0.2">
      <c r="B2" s="151"/>
      <c r="C2" s="155"/>
      <c r="D2" s="155"/>
      <c r="E2" s="156"/>
      <c r="F2" s="160"/>
    </row>
    <row r="3" spans="2:6" ht="12.75" customHeight="1" x14ac:dyDescent="0.2">
      <c r="B3" s="151"/>
      <c r="C3" s="155"/>
      <c r="D3" s="155"/>
      <c r="E3" s="156"/>
      <c r="F3" s="160"/>
    </row>
    <row r="4" spans="2:6" ht="13.5" customHeight="1" thickBot="1" x14ac:dyDescent="0.25">
      <c r="B4" s="152"/>
      <c r="C4" s="157"/>
      <c r="D4" s="157"/>
      <c r="E4" s="158"/>
      <c r="F4" s="161"/>
    </row>
    <row r="5" spans="2:6" ht="9.9499999999999993" customHeight="1" thickBot="1" x14ac:dyDescent="0.25">
      <c r="B5" s="1"/>
      <c r="C5" s="34"/>
      <c r="D5" s="34"/>
      <c r="E5" s="34"/>
      <c r="F5" s="2"/>
    </row>
    <row r="6" spans="2:6" ht="20.100000000000001" customHeight="1" thickBot="1" x14ac:dyDescent="0.3">
      <c r="B6" s="162" t="s">
        <v>3</v>
      </c>
      <c r="C6" s="163"/>
      <c r="D6" s="163"/>
      <c r="E6" s="163"/>
      <c r="F6" s="164"/>
    </row>
    <row r="7" spans="2:6" ht="20.100000000000001" customHeight="1" x14ac:dyDescent="0.2">
      <c r="B7" s="165" t="s">
        <v>4</v>
      </c>
      <c r="C7" s="166"/>
      <c r="D7" s="167" t="s">
        <v>5</v>
      </c>
      <c r="E7" s="167"/>
      <c r="F7" s="168"/>
    </row>
    <row r="8" spans="2:6" ht="20.100000000000001" customHeight="1" x14ac:dyDescent="0.2">
      <c r="B8" s="169" t="s">
        <v>6</v>
      </c>
      <c r="C8" s="170"/>
      <c r="D8" s="171" t="s">
        <v>36</v>
      </c>
      <c r="E8" s="171"/>
      <c r="F8" s="172"/>
    </row>
    <row r="9" spans="2:6" ht="20.100000000000001" customHeight="1" x14ac:dyDescent="0.2">
      <c r="B9" s="169" t="s">
        <v>7</v>
      </c>
      <c r="C9" s="170"/>
      <c r="D9" s="171" t="s">
        <v>113</v>
      </c>
      <c r="E9" s="171"/>
      <c r="F9" s="172"/>
    </row>
    <row r="10" spans="2:6" ht="20.100000000000001" customHeight="1" x14ac:dyDescent="0.2">
      <c r="B10" s="169" t="s">
        <v>8</v>
      </c>
      <c r="C10" s="170"/>
      <c r="D10" s="173" t="s">
        <v>79</v>
      </c>
      <c r="E10" s="173"/>
      <c r="F10" s="174"/>
    </row>
    <row r="11" spans="2:6" ht="20.100000000000001" customHeight="1" thickBot="1" x14ac:dyDescent="0.25">
      <c r="B11" s="175" t="s">
        <v>9</v>
      </c>
      <c r="C11" s="176"/>
      <c r="D11" s="177">
        <v>43609</v>
      </c>
      <c r="E11" s="178"/>
      <c r="F11" s="3">
        <v>5</v>
      </c>
    </row>
    <row r="12" spans="2:6" ht="9.9499999999999993" customHeight="1" thickBot="1" x14ac:dyDescent="0.25">
      <c r="B12" s="179"/>
      <c r="C12" s="179"/>
      <c r="D12" s="179"/>
      <c r="E12" s="179"/>
      <c r="F12" s="179"/>
    </row>
    <row r="13" spans="2:6" ht="20.100000000000001" customHeight="1" thickBot="1" x14ac:dyDescent="0.25">
      <c r="B13" s="180" t="s">
        <v>10</v>
      </c>
      <c r="C13" s="181"/>
      <c r="D13" s="181"/>
      <c r="E13" s="181"/>
      <c r="F13" s="182"/>
    </row>
    <row r="14" spans="2:6" ht="20.100000000000001" customHeight="1" x14ac:dyDescent="0.2">
      <c r="B14" s="183" t="s">
        <v>11</v>
      </c>
      <c r="C14" s="184"/>
      <c r="D14" s="185" t="s">
        <v>91</v>
      </c>
      <c r="E14" s="185"/>
      <c r="F14" s="27" t="s">
        <v>99</v>
      </c>
    </row>
    <row r="15" spans="2:6" ht="20.100000000000001" customHeight="1" thickBot="1" x14ac:dyDescent="0.25">
      <c r="B15" s="175" t="s">
        <v>12</v>
      </c>
      <c r="C15" s="176"/>
      <c r="D15" s="177">
        <v>43613</v>
      </c>
      <c r="E15" s="177"/>
      <c r="F15" s="17" t="s">
        <v>116</v>
      </c>
    </row>
    <row r="16" spans="2:6" ht="9.9499999999999993" customHeight="1" thickBot="1" x14ac:dyDescent="0.25">
      <c r="B16" s="179"/>
      <c r="C16" s="179"/>
      <c r="D16" s="179"/>
      <c r="E16" s="179"/>
      <c r="F16" s="179"/>
    </row>
    <row r="17" spans="2:6" ht="20.100000000000001" customHeight="1" thickBot="1" x14ac:dyDescent="0.25">
      <c r="B17" s="180" t="s">
        <v>13</v>
      </c>
      <c r="C17" s="181"/>
      <c r="D17" s="181"/>
      <c r="E17" s="181"/>
      <c r="F17" s="182"/>
    </row>
    <row r="18" spans="2:6" ht="15.75" thickBot="1" x14ac:dyDescent="0.25">
      <c r="B18" s="186" t="s">
        <v>14</v>
      </c>
      <c r="C18" s="187"/>
      <c r="D18" s="187" t="s">
        <v>15</v>
      </c>
      <c r="E18" s="187"/>
      <c r="F18" s="39" t="s">
        <v>16</v>
      </c>
    </row>
    <row r="19" spans="2:6" s="4" customFormat="1" ht="24.95" customHeight="1" x14ac:dyDescent="0.2">
      <c r="B19" s="188" t="s">
        <v>17</v>
      </c>
      <c r="C19" s="38" t="s">
        <v>18</v>
      </c>
      <c r="D19" s="191">
        <v>0</v>
      </c>
      <c r="E19" s="191"/>
      <c r="F19" s="5">
        <f>+D19/D51</f>
        <v>0</v>
      </c>
    </row>
    <row r="20" spans="2:6" s="4" customFormat="1" ht="24.95" customHeight="1" x14ac:dyDescent="0.2">
      <c r="B20" s="189"/>
      <c r="C20" s="15" t="s">
        <v>19</v>
      </c>
      <c r="D20" s="192">
        <v>0.46</v>
      </c>
      <c r="E20" s="192"/>
      <c r="F20" s="18">
        <f>+D20/D51</f>
        <v>1.6155088852988688E-3</v>
      </c>
    </row>
    <row r="21" spans="2:6" s="4" customFormat="1" ht="24.95" customHeight="1" x14ac:dyDescent="0.2">
      <c r="B21" s="189"/>
      <c r="C21" s="15" t="s">
        <v>20</v>
      </c>
      <c r="D21" s="192">
        <v>1.1599999999999999</v>
      </c>
      <c r="E21" s="192"/>
      <c r="F21" s="18">
        <f>+D21/D51</f>
        <v>4.0738919716232338E-3</v>
      </c>
    </row>
    <row r="22" spans="2:6" s="4" customFormat="1" ht="24.95" customHeight="1" x14ac:dyDescent="0.2">
      <c r="B22" s="189"/>
      <c r="C22" s="15" t="s">
        <v>21</v>
      </c>
      <c r="D22" s="192">
        <v>0.72</v>
      </c>
      <c r="E22" s="192"/>
      <c r="F22" s="18">
        <f>+D22/D51</f>
        <v>2.5286226030764901E-3</v>
      </c>
    </row>
    <row r="23" spans="2:6" s="4" customFormat="1" ht="24.95" customHeight="1" x14ac:dyDescent="0.2">
      <c r="B23" s="189"/>
      <c r="C23" s="15" t="s">
        <v>22</v>
      </c>
      <c r="D23" s="192">
        <v>3.66</v>
      </c>
      <c r="E23" s="192"/>
      <c r="F23" s="18">
        <f>+D23/D51</f>
        <v>1.2853831565638825E-2</v>
      </c>
    </row>
    <row r="24" spans="2:6" s="4" customFormat="1" ht="24.95" customHeight="1" thickBot="1" x14ac:dyDescent="0.25">
      <c r="B24" s="190"/>
      <c r="C24" s="36" t="s">
        <v>37</v>
      </c>
      <c r="D24" s="193">
        <v>4.74</v>
      </c>
      <c r="E24" s="193"/>
      <c r="F24" s="19">
        <f>+D24/D51</f>
        <v>1.6646765470253563E-2</v>
      </c>
    </row>
    <row r="25" spans="2:6" s="4" customFormat="1" ht="13.5" thickBot="1" x14ac:dyDescent="0.25">
      <c r="B25" s="205"/>
      <c r="C25" s="206"/>
      <c r="D25" s="206"/>
      <c r="E25" s="206"/>
      <c r="F25" s="207"/>
    </row>
    <row r="26" spans="2:6" s="4" customFormat="1" ht="24.95" customHeight="1" x14ac:dyDescent="0.2">
      <c r="B26" s="194" t="s">
        <v>23</v>
      </c>
      <c r="C26" s="37" t="s">
        <v>24</v>
      </c>
      <c r="D26" s="191">
        <v>0.78</v>
      </c>
      <c r="E26" s="191"/>
      <c r="F26" s="5">
        <f>+D26/D51</f>
        <v>2.7393411533328644E-3</v>
      </c>
    </row>
    <row r="27" spans="2:6" s="4" customFormat="1" ht="24.95" customHeight="1" x14ac:dyDescent="0.2">
      <c r="B27" s="195"/>
      <c r="C27" s="42" t="s">
        <v>43</v>
      </c>
      <c r="D27" s="192">
        <f>6.3+2.64</f>
        <v>8.94</v>
      </c>
      <c r="E27" s="192"/>
      <c r="F27" s="18">
        <f>+D27/D51</f>
        <v>3.1397063988199754E-2</v>
      </c>
    </row>
    <row r="28" spans="2:6" s="4" customFormat="1" ht="24.95" customHeight="1" x14ac:dyDescent="0.2">
      <c r="B28" s="196"/>
      <c r="C28" s="42" t="s">
        <v>25</v>
      </c>
      <c r="D28" s="192">
        <f>4.88+4.18+4.3</f>
        <v>13.36</v>
      </c>
      <c r="E28" s="192"/>
      <c r="F28" s="18">
        <f>D28/D51</f>
        <v>4.6919997190419317E-2</v>
      </c>
    </row>
    <row r="29" spans="2:6" s="4" customFormat="1" ht="24.95" customHeight="1" x14ac:dyDescent="0.2">
      <c r="B29" s="196"/>
      <c r="C29" s="42" t="s">
        <v>26</v>
      </c>
      <c r="D29" s="192">
        <f>6.62+2.26+8.1</f>
        <v>16.979999999999997</v>
      </c>
      <c r="E29" s="192"/>
      <c r="F29" s="18">
        <f>D29/D51</f>
        <v>5.9633349722553887E-2</v>
      </c>
    </row>
    <row r="30" spans="2:6" s="4" customFormat="1" ht="24.95" customHeight="1" x14ac:dyDescent="0.2">
      <c r="B30" s="196"/>
      <c r="C30" s="42" t="s">
        <v>21</v>
      </c>
      <c r="D30" s="192">
        <v>3</v>
      </c>
      <c r="E30" s="192"/>
      <c r="F30" s="18">
        <f>D30/D51</f>
        <v>1.053592751281871E-2</v>
      </c>
    </row>
    <row r="31" spans="2:6" s="4" customFormat="1" ht="24.95" customHeight="1" x14ac:dyDescent="0.2">
      <c r="B31" s="196"/>
      <c r="C31" s="42" t="s">
        <v>39</v>
      </c>
      <c r="D31" s="192">
        <f>7.54+10.4+14.78+10.6</f>
        <v>43.32</v>
      </c>
      <c r="E31" s="192"/>
      <c r="F31" s="18">
        <f>D31/D51</f>
        <v>0.15213879328510216</v>
      </c>
    </row>
    <row r="32" spans="2:6" s="4" customFormat="1" ht="24.95" customHeight="1" x14ac:dyDescent="0.2">
      <c r="B32" s="196"/>
      <c r="C32" s="42" t="s">
        <v>38</v>
      </c>
      <c r="D32" s="192">
        <v>1.92</v>
      </c>
      <c r="E32" s="192"/>
      <c r="F32" s="18">
        <f>D32/D51</f>
        <v>6.7429936082039734E-3</v>
      </c>
    </row>
    <row r="33" spans="2:6" s="4" customFormat="1" ht="24.95" customHeight="1" x14ac:dyDescent="0.2">
      <c r="B33" s="196"/>
      <c r="C33" s="42" t="s">
        <v>27</v>
      </c>
      <c r="D33" s="192">
        <v>6.06</v>
      </c>
      <c r="E33" s="192"/>
      <c r="F33" s="18">
        <f>D33/D51</f>
        <v>2.128257357589379E-2</v>
      </c>
    </row>
    <row r="34" spans="2:6" s="4" customFormat="1" ht="24.95" customHeight="1" x14ac:dyDescent="0.2">
      <c r="B34" s="196"/>
      <c r="C34" s="43" t="s">
        <v>28</v>
      </c>
      <c r="D34" s="192">
        <f>7.1+7.18+2.96</f>
        <v>17.239999999999998</v>
      </c>
      <c r="E34" s="192"/>
      <c r="F34" s="18">
        <f>D34/D51</f>
        <v>6.0546463440331509E-2</v>
      </c>
    </row>
    <row r="35" spans="2:6" s="4" customFormat="1" ht="24.95" customHeight="1" x14ac:dyDescent="0.2">
      <c r="B35" s="196"/>
      <c r="C35" s="43" t="s">
        <v>29</v>
      </c>
      <c r="D35" s="192">
        <v>1.36</v>
      </c>
      <c r="E35" s="192"/>
      <c r="F35" s="18">
        <f>D35/D51</f>
        <v>4.7762871391444821E-3</v>
      </c>
    </row>
    <row r="36" spans="2:6" s="4" customFormat="1" ht="24.95" customHeight="1" x14ac:dyDescent="0.2">
      <c r="B36" s="196"/>
      <c r="C36" s="43" t="s">
        <v>30</v>
      </c>
      <c r="D36" s="192">
        <f>17.6+13.82+14.14</f>
        <v>45.56</v>
      </c>
      <c r="E36" s="192"/>
      <c r="F36" s="18">
        <f>D36/D51</f>
        <v>0.16000561916134015</v>
      </c>
    </row>
    <row r="37" spans="2:6" s="4" customFormat="1" ht="24.95" customHeight="1" x14ac:dyDescent="0.2">
      <c r="B37" s="196"/>
      <c r="C37" s="43" t="s">
        <v>40</v>
      </c>
      <c r="D37" s="192">
        <f>5.62+5.22</f>
        <v>10.84</v>
      </c>
      <c r="E37" s="192"/>
      <c r="F37" s="18">
        <f>D37/D51</f>
        <v>3.8069818079651603E-2</v>
      </c>
    </row>
    <row r="38" spans="2:6" s="4" customFormat="1" ht="24.95" customHeight="1" thickBot="1" x14ac:dyDescent="0.25">
      <c r="B38" s="197"/>
      <c r="C38" s="35" t="s">
        <v>41</v>
      </c>
      <c r="D38" s="193">
        <f>12.02+14.56+16.88+13.64+11.98</f>
        <v>69.08</v>
      </c>
      <c r="E38" s="193"/>
      <c r="F38" s="19">
        <f>D38/D51</f>
        <v>0.2426072908618388</v>
      </c>
    </row>
    <row r="39" spans="2:6" s="4" customFormat="1" ht="12.75" customHeight="1" thickBot="1" x14ac:dyDescent="0.25">
      <c r="B39" s="198"/>
      <c r="C39" s="199"/>
      <c r="D39" s="199"/>
      <c r="E39" s="199"/>
      <c r="F39" s="200"/>
    </row>
    <row r="40" spans="2:6" s="4" customFormat="1" ht="24.95" customHeight="1" x14ac:dyDescent="0.2">
      <c r="B40" s="208" t="s">
        <v>31</v>
      </c>
      <c r="C40" s="38" t="s">
        <v>32</v>
      </c>
      <c r="D40" s="191">
        <v>0.68</v>
      </c>
      <c r="E40" s="191"/>
      <c r="F40" s="5">
        <f>+D40/D51</f>
        <v>2.3881435695722411E-3</v>
      </c>
    </row>
    <row r="41" spans="2:6" s="4" customFormat="1" ht="24.95" customHeight="1" x14ac:dyDescent="0.2">
      <c r="B41" s="209"/>
      <c r="C41" s="16" t="s">
        <v>28</v>
      </c>
      <c r="D41" s="192">
        <v>1.18</v>
      </c>
      <c r="E41" s="192"/>
      <c r="F41" s="18">
        <f>+D41/D51</f>
        <v>4.1441314883753589E-3</v>
      </c>
    </row>
    <row r="42" spans="2:6" s="4" customFormat="1" ht="24.95" customHeight="1" x14ac:dyDescent="0.2">
      <c r="B42" s="209"/>
      <c r="C42" s="16" t="s">
        <v>30</v>
      </c>
      <c r="D42" s="192">
        <v>0.18</v>
      </c>
      <c r="E42" s="192"/>
      <c r="F42" s="18">
        <f>+D42/D51</f>
        <v>6.3215565076912253E-4</v>
      </c>
    </row>
    <row r="43" spans="2:6" s="4" customFormat="1" ht="24.95" customHeight="1" x14ac:dyDescent="0.2">
      <c r="B43" s="209"/>
      <c r="C43" s="16" t="s">
        <v>40</v>
      </c>
      <c r="D43" s="192">
        <v>1.48</v>
      </c>
      <c r="E43" s="192"/>
      <c r="F43" s="18">
        <f>+D43/D51</f>
        <v>5.1977242396572297E-3</v>
      </c>
    </row>
    <row r="44" spans="2:6" s="4" customFormat="1" ht="24.95" customHeight="1" x14ac:dyDescent="0.2">
      <c r="B44" s="209"/>
      <c r="C44" s="15" t="s">
        <v>43</v>
      </c>
      <c r="D44" s="192">
        <v>1.66</v>
      </c>
      <c r="E44" s="192"/>
      <c r="F44" s="18">
        <f>+D44/D51</f>
        <v>5.8298798904263521E-3</v>
      </c>
    </row>
    <row r="45" spans="2:6" s="4" customFormat="1" ht="24.95" customHeight="1" x14ac:dyDescent="0.2">
      <c r="B45" s="210"/>
      <c r="C45" s="26" t="s">
        <v>24</v>
      </c>
      <c r="D45" s="192">
        <v>0.9</v>
      </c>
      <c r="E45" s="192"/>
      <c r="F45" s="18">
        <f>+D45/D51</f>
        <v>3.1607782538456129E-3</v>
      </c>
    </row>
    <row r="46" spans="2:6" s="4" customFormat="1" ht="24.95" customHeight="1" x14ac:dyDescent="0.2">
      <c r="B46" s="210"/>
      <c r="C46" s="26" t="s">
        <v>39</v>
      </c>
      <c r="D46" s="192">
        <v>1.08</v>
      </c>
      <c r="E46" s="192"/>
      <c r="F46" s="18">
        <f>+D46/D51</f>
        <v>3.7929339046147356E-3</v>
      </c>
    </row>
    <row r="47" spans="2:6" s="4" customFormat="1" ht="24.95" customHeight="1" thickBot="1" x14ac:dyDescent="0.25">
      <c r="B47" s="211"/>
      <c r="C47" s="36" t="s">
        <v>44</v>
      </c>
      <c r="D47" s="193">
        <v>0.98</v>
      </c>
      <c r="E47" s="193"/>
      <c r="F47" s="19">
        <f>+D47/D51</f>
        <v>3.4417363208541119E-3</v>
      </c>
    </row>
    <row r="48" spans="2:6" s="4" customFormat="1" ht="12.75" customHeight="1" thickBot="1" x14ac:dyDescent="0.25">
      <c r="B48" s="198"/>
      <c r="C48" s="199"/>
      <c r="D48" s="199"/>
      <c r="E48" s="199"/>
      <c r="F48" s="200"/>
    </row>
    <row r="49" spans="2:7" s="4" customFormat="1" ht="24.95" customHeight="1" thickBot="1" x14ac:dyDescent="0.25">
      <c r="B49" s="24" t="s">
        <v>33</v>
      </c>
      <c r="C49" s="26" t="s">
        <v>42</v>
      </c>
      <c r="D49" s="201">
        <f>10.44+16.98</f>
        <v>27.42</v>
      </c>
      <c r="E49" s="201"/>
      <c r="F49" s="25">
        <f>+D49/D51</f>
        <v>9.6298377467163007E-2</v>
      </c>
    </row>
    <row r="50" spans="2:7" s="4" customFormat="1" ht="13.5" thickBot="1" x14ac:dyDescent="0.25">
      <c r="B50" s="202"/>
      <c r="C50" s="203"/>
      <c r="D50" s="203"/>
      <c r="E50" s="203"/>
      <c r="F50" s="204"/>
    </row>
    <row r="51" spans="2:7" ht="30" customHeight="1" thickBot="1" x14ac:dyDescent="0.25">
      <c r="B51" s="212" t="s">
        <v>34</v>
      </c>
      <c r="C51" s="213"/>
      <c r="D51" s="214">
        <f>D19+D20+D21+D22+D23+D24+D26+D27+D28+D29+D30+D31+D32+D33+D34+D35+D36+D37+D38+D40+D41+D42+D43+D44+D45+D46+D47+D49</f>
        <v>284.74000000000007</v>
      </c>
      <c r="E51" s="214"/>
      <c r="F51" s="20">
        <f>F19+F20+F21+F22+F23+F24+F26+F27+F28+F29+F30+F31+F32+F33+F34+F35+F36+F37+F38+F40+F41+F42+F43+F44+F45+F46+F47+F49</f>
        <v>0.99999999999999978</v>
      </c>
    </row>
    <row r="52" spans="2:7" ht="9.75" customHeight="1" thickBot="1" x14ac:dyDescent="0.25">
      <c r="B52" s="215"/>
      <c r="C52" s="215"/>
      <c r="D52" s="215"/>
      <c r="E52" s="215"/>
      <c r="F52" s="215"/>
    </row>
    <row r="53" spans="2:7" ht="20.100000000000001" customHeight="1" thickBot="1" x14ac:dyDescent="0.25">
      <c r="B53" s="186" t="s">
        <v>35</v>
      </c>
      <c r="C53" s="187"/>
      <c r="D53" s="187"/>
      <c r="E53" s="187"/>
      <c r="F53" s="216"/>
    </row>
    <row r="54" spans="2:7" ht="27.95" customHeight="1" x14ac:dyDescent="0.2">
      <c r="B54" s="217" t="s">
        <v>117</v>
      </c>
      <c r="C54" s="218"/>
      <c r="D54" s="218"/>
      <c r="E54" s="218"/>
      <c r="F54" s="219"/>
    </row>
    <row r="55" spans="2:7" ht="27.95" customHeight="1" thickBot="1" x14ac:dyDescent="0.25">
      <c r="B55" s="220"/>
      <c r="C55" s="221"/>
      <c r="D55" s="221"/>
      <c r="E55" s="221"/>
      <c r="F55" s="222"/>
    </row>
    <row r="56" spans="2:7" ht="9.9499999999999993" customHeight="1" x14ac:dyDescent="0.2">
      <c r="G56" s="6"/>
    </row>
    <row r="57" spans="2:7" ht="15" customHeight="1" x14ac:dyDescent="0.2">
      <c r="G57" s="6"/>
    </row>
    <row r="58" spans="2:7" ht="12.75" customHeight="1" x14ac:dyDescent="0.2"/>
    <row r="59" spans="2:7" ht="12.75" customHeight="1" x14ac:dyDescent="0.2"/>
  </sheetData>
  <mergeCells count="64">
    <mergeCell ref="B1:B4"/>
    <mergeCell ref="C1:E4"/>
    <mergeCell ref="F1:F4"/>
    <mergeCell ref="B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E11"/>
    <mergeCell ref="B12:F12"/>
    <mergeCell ref="B13:F13"/>
    <mergeCell ref="B14:C14"/>
    <mergeCell ref="D14:E14"/>
    <mergeCell ref="B15:C15"/>
    <mergeCell ref="D15:E15"/>
    <mergeCell ref="B16:F16"/>
    <mergeCell ref="B17:F17"/>
    <mergeCell ref="B18:C18"/>
    <mergeCell ref="D18:E18"/>
    <mergeCell ref="B19:B24"/>
    <mergeCell ref="D19:E19"/>
    <mergeCell ref="D20:E20"/>
    <mergeCell ref="D21:E21"/>
    <mergeCell ref="D22:E22"/>
    <mergeCell ref="D23:E23"/>
    <mergeCell ref="D24:E24"/>
    <mergeCell ref="B39:F39"/>
    <mergeCell ref="B25:F25"/>
    <mergeCell ref="B26:B3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B40:B47"/>
    <mergeCell ref="D40:E40"/>
    <mergeCell ref="D41:E41"/>
    <mergeCell ref="D42:E42"/>
    <mergeCell ref="D43:E43"/>
    <mergeCell ref="D44:E44"/>
    <mergeCell ref="D45:E45"/>
    <mergeCell ref="D46:E46"/>
    <mergeCell ref="D47:E47"/>
    <mergeCell ref="B53:F53"/>
    <mergeCell ref="B54:F55"/>
    <mergeCell ref="B48:F48"/>
    <mergeCell ref="D49:E49"/>
    <mergeCell ref="B50:F50"/>
    <mergeCell ref="B51:C51"/>
    <mergeCell ref="D51:E51"/>
    <mergeCell ref="B52:F52"/>
  </mergeCells>
  <conditionalFormatting sqref="F51">
    <cfRule type="expression" dxfId="13" priority="2" stopIfTrue="1">
      <formula>$D$51=0</formula>
    </cfRule>
  </conditionalFormatting>
  <conditionalFormatting sqref="D51:E51">
    <cfRule type="cellIs" dxfId="12" priority="1" stopIfTrue="1" operator="equal">
      <formula>0</formula>
    </cfRule>
  </conditionalFormatting>
  <printOptions horizontalCentered="1"/>
  <pageMargins left="0" right="0" top="0.15748031496062992" bottom="0" header="0.23622047244094491" footer="0.31496062992125984"/>
  <pageSetup paperSize="9" scale="7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G59"/>
  <sheetViews>
    <sheetView workbookViewId="0">
      <selection activeCell="H47" sqref="H47"/>
    </sheetView>
  </sheetViews>
  <sheetFormatPr baseColWidth="10" defaultRowHeight="12.75" x14ac:dyDescent="0.2"/>
  <cols>
    <col min="1" max="1" width="1.7109375" customWidth="1"/>
    <col min="2" max="2" width="24.85546875" customWidth="1"/>
    <col min="3" max="3" width="46.7109375" bestFit="1" customWidth="1"/>
    <col min="5" max="5" width="18.5703125" customWidth="1"/>
    <col min="6" max="6" width="24.28515625" bestFit="1" customWidth="1"/>
  </cols>
  <sheetData>
    <row r="1" spans="2:6" ht="12.75" customHeight="1" x14ac:dyDescent="0.2">
      <c r="B1" s="150" t="s">
        <v>0</v>
      </c>
      <c r="C1" s="153" t="s">
        <v>1</v>
      </c>
      <c r="D1" s="153"/>
      <c r="E1" s="154"/>
      <c r="F1" s="159" t="s">
        <v>2</v>
      </c>
    </row>
    <row r="2" spans="2:6" ht="12.75" customHeight="1" x14ac:dyDescent="0.2">
      <c r="B2" s="151"/>
      <c r="C2" s="155"/>
      <c r="D2" s="155"/>
      <c r="E2" s="156"/>
      <c r="F2" s="160"/>
    </row>
    <row r="3" spans="2:6" ht="12.75" customHeight="1" x14ac:dyDescent="0.2">
      <c r="B3" s="151"/>
      <c r="C3" s="155"/>
      <c r="D3" s="155"/>
      <c r="E3" s="156"/>
      <c r="F3" s="160"/>
    </row>
    <row r="4" spans="2:6" ht="13.5" customHeight="1" thickBot="1" x14ac:dyDescent="0.25">
      <c r="B4" s="152"/>
      <c r="C4" s="157"/>
      <c r="D4" s="157"/>
      <c r="E4" s="158"/>
      <c r="F4" s="161"/>
    </row>
    <row r="5" spans="2:6" ht="9.9499999999999993" customHeight="1" thickBot="1" x14ac:dyDescent="0.25">
      <c r="B5" s="1"/>
      <c r="C5" s="34"/>
      <c r="D5" s="34"/>
      <c r="E5" s="34"/>
      <c r="F5" s="2"/>
    </row>
    <row r="6" spans="2:6" ht="20.100000000000001" customHeight="1" thickBot="1" x14ac:dyDescent="0.3">
      <c r="B6" s="162" t="s">
        <v>3</v>
      </c>
      <c r="C6" s="163"/>
      <c r="D6" s="163"/>
      <c r="E6" s="163"/>
      <c r="F6" s="164"/>
    </row>
    <row r="7" spans="2:6" ht="20.100000000000001" customHeight="1" x14ac:dyDescent="0.2">
      <c r="B7" s="165" t="s">
        <v>4</v>
      </c>
      <c r="C7" s="166"/>
      <c r="D7" s="167" t="s">
        <v>5</v>
      </c>
      <c r="E7" s="167"/>
      <c r="F7" s="168"/>
    </row>
    <row r="8" spans="2:6" ht="20.100000000000001" customHeight="1" x14ac:dyDescent="0.2">
      <c r="B8" s="169" t="s">
        <v>6</v>
      </c>
      <c r="C8" s="170"/>
      <c r="D8" s="171" t="s">
        <v>36</v>
      </c>
      <c r="E8" s="171"/>
      <c r="F8" s="172"/>
    </row>
    <row r="9" spans="2:6" ht="20.100000000000001" customHeight="1" x14ac:dyDescent="0.2">
      <c r="B9" s="169" t="s">
        <v>7</v>
      </c>
      <c r="C9" s="170"/>
      <c r="D9" s="171" t="s">
        <v>119</v>
      </c>
      <c r="E9" s="171"/>
      <c r="F9" s="172"/>
    </row>
    <row r="10" spans="2:6" ht="20.100000000000001" customHeight="1" x14ac:dyDescent="0.2">
      <c r="B10" s="169" t="s">
        <v>8</v>
      </c>
      <c r="C10" s="170"/>
      <c r="D10" s="173" t="s">
        <v>121</v>
      </c>
      <c r="E10" s="173"/>
      <c r="F10" s="174"/>
    </row>
    <row r="11" spans="2:6" ht="20.100000000000001" customHeight="1" thickBot="1" x14ac:dyDescent="0.25">
      <c r="B11" s="175" t="s">
        <v>9</v>
      </c>
      <c r="C11" s="176"/>
      <c r="D11" s="177">
        <v>43609</v>
      </c>
      <c r="E11" s="178"/>
      <c r="F11" s="3">
        <v>9.36</v>
      </c>
    </row>
    <row r="12" spans="2:6" ht="9.9499999999999993" customHeight="1" thickBot="1" x14ac:dyDescent="0.25">
      <c r="B12" s="179"/>
      <c r="C12" s="179"/>
      <c r="D12" s="179"/>
      <c r="E12" s="179"/>
      <c r="F12" s="179"/>
    </row>
    <row r="13" spans="2:6" ht="20.100000000000001" customHeight="1" thickBot="1" x14ac:dyDescent="0.25">
      <c r="B13" s="180" t="s">
        <v>10</v>
      </c>
      <c r="C13" s="181"/>
      <c r="D13" s="181"/>
      <c r="E13" s="181"/>
      <c r="F13" s="182"/>
    </row>
    <row r="14" spans="2:6" ht="20.100000000000001" customHeight="1" x14ac:dyDescent="0.2">
      <c r="B14" s="183" t="s">
        <v>11</v>
      </c>
      <c r="C14" s="184"/>
      <c r="D14" s="185" t="s">
        <v>91</v>
      </c>
      <c r="E14" s="185"/>
      <c r="F14" s="27" t="s">
        <v>99</v>
      </c>
    </row>
    <row r="15" spans="2:6" ht="20.100000000000001" customHeight="1" thickBot="1" x14ac:dyDescent="0.25">
      <c r="B15" s="175" t="s">
        <v>12</v>
      </c>
      <c r="C15" s="176"/>
      <c r="D15" s="177">
        <v>43613</v>
      </c>
      <c r="E15" s="177"/>
      <c r="F15" s="17" t="s">
        <v>122</v>
      </c>
    </row>
    <row r="16" spans="2:6" ht="9.9499999999999993" customHeight="1" thickBot="1" x14ac:dyDescent="0.25">
      <c r="B16" s="179"/>
      <c r="C16" s="179"/>
      <c r="D16" s="179"/>
      <c r="E16" s="179"/>
      <c r="F16" s="179"/>
    </row>
    <row r="17" spans="2:6" ht="20.100000000000001" customHeight="1" thickBot="1" x14ac:dyDescent="0.25">
      <c r="B17" s="180" t="s">
        <v>13</v>
      </c>
      <c r="C17" s="181"/>
      <c r="D17" s="181"/>
      <c r="E17" s="181"/>
      <c r="F17" s="182"/>
    </row>
    <row r="18" spans="2:6" ht="15.75" thickBot="1" x14ac:dyDescent="0.25">
      <c r="B18" s="186" t="s">
        <v>14</v>
      </c>
      <c r="C18" s="187"/>
      <c r="D18" s="187" t="s">
        <v>15</v>
      </c>
      <c r="E18" s="187"/>
      <c r="F18" s="39" t="s">
        <v>16</v>
      </c>
    </row>
    <row r="19" spans="2:6" s="4" customFormat="1" ht="24.95" customHeight="1" x14ac:dyDescent="0.2">
      <c r="B19" s="188" t="s">
        <v>17</v>
      </c>
      <c r="C19" s="38" t="s">
        <v>18</v>
      </c>
      <c r="D19" s="191">
        <v>0</v>
      </c>
      <c r="E19" s="191"/>
      <c r="F19" s="5">
        <f>+D19/D51</f>
        <v>0</v>
      </c>
    </row>
    <row r="20" spans="2:6" s="4" customFormat="1" ht="24.95" customHeight="1" x14ac:dyDescent="0.2">
      <c r="B20" s="189"/>
      <c r="C20" s="15" t="s">
        <v>19</v>
      </c>
      <c r="D20" s="192">
        <v>0</v>
      </c>
      <c r="E20" s="192"/>
      <c r="F20" s="18">
        <f>+D20/D51</f>
        <v>0</v>
      </c>
    </row>
    <row r="21" spans="2:6" s="4" customFormat="1" ht="24.95" customHeight="1" x14ac:dyDescent="0.2">
      <c r="B21" s="189"/>
      <c r="C21" s="15" t="s">
        <v>20</v>
      </c>
      <c r="D21" s="192">
        <v>0</v>
      </c>
      <c r="E21" s="192"/>
      <c r="F21" s="18">
        <f>+D21/D51</f>
        <v>0</v>
      </c>
    </row>
    <row r="22" spans="2:6" s="4" customFormat="1" ht="24.95" customHeight="1" x14ac:dyDescent="0.2">
      <c r="B22" s="189"/>
      <c r="C22" s="15" t="s">
        <v>21</v>
      </c>
      <c r="D22" s="192">
        <v>2.1</v>
      </c>
      <c r="E22" s="192"/>
      <c r="F22" s="18">
        <f>+D22/D51</f>
        <v>7.5773977051309819E-3</v>
      </c>
    </row>
    <row r="23" spans="2:6" s="4" customFormat="1" ht="24.95" customHeight="1" x14ac:dyDescent="0.2">
      <c r="B23" s="189"/>
      <c r="C23" s="15" t="s">
        <v>22</v>
      </c>
      <c r="D23" s="192">
        <v>1.74</v>
      </c>
      <c r="E23" s="192"/>
      <c r="F23" s="18">
        <f>+D23/D51</f>
        <v>6.2784152413942413E-3</v>
      </c>
    </row>
    <row r="24" spans="2:6" s="4" customFormat="1" ht="24.95" customHeight="1" thickBot="1" x14ac:dyDescent="0.25">
      <c r="B24" s="190"/>
      <c r="C24" s="36" t="s">
        <v>37</v>
      </c>
      <c r="D24" s="193">
        <v>6.36</v>
      </c>
      <c r="E24" s="193"/>
      <c r="F24" s="19">
        <f>+D24/D51</f>
        <v>2.2948690192682402E-2</v>
      </c>
    </row>
    <row r="25" spans="2:6" s="4" customFormat="1" ht="13.5" thickBot="1" x14ac:dyDescent="0.25">
      <c r="B25" s="205"/>
      <c r="C25" s="206"/>
      <c r="D25" s="206"/>
      <c r="E25" s="206"/>
      <c r="F25" s="207"/>
    </row>
    <row r="26" spans="2:6" s="4" customFormat="1" ht="24.95" customHeight="1" x14ac:dyDescent="0.2">
      <c r="B26" s="194" t="s">
        <v>23</v>
      </c>
      <c r="C26" s="37" t="s">
        <v>24</v>
      </c>
      <c r="D26" s="191">
        <v>0.64</v>
      </c>
      <c r="E26" s="191"/>
      <c r="F26" s="5">
        <f>+D26/D51</f>
        <v>2.3093021577542039E-3</v>
      </c>
    </row>
    <row r="27" spans="2:6" s="4" customFormat="1" ht="24.95" customHeight="1" x14ac:dyDescent="0.2">
      <c r="B27" s="195"/>
      <c r="C27" s="42" t="s">
        <v>43</v>
      </c>
      <c r="D27" s="192">
        <f>7.36+4.48</f>
        <v>11.84</v>
      </c>
      <c r="E27" s="192"/>
      <c r="F27" s="18">
        <f>+D27/D51</f>
        <v>4.272208991845277E-2</v>
      </c>
    </row>
    <row r="28" spans="2:6" s="4" customFormat="1" ht="24.95" customHeight="1" x14ac:dyDescent="0.2">
      <c r="B28" s="196"/>
      <c r="C28" s="42" t="s">
        <v>25</v>
      </c>
      <c r="D28" s="192">
        <f>5.94+4.86</f>
        <v>10.8</v>
      </c>
      <c r="E28" s="192"/>
      <c r="F28" s="18">
        <f>D28/D51</f>
        <v>3.896947391210219E-2</v>
      </c>
    </row>
    <row r="29" spans="2:6" s="4" customFormat="1" ht="24.95" customHeight="1" x14ac:dyDescent="0.2">
      <c r="B29" s="196"/>
      <c r="C29" s="42" t="s">
        <v>26</v>
      </c>
      <c r="D29" s="192">
        <f>6.18+6.12+3.96</f>
        <v>16.260000000000002</v>
      </c>
      <c r="E29" s="192"/>
      <c r="F29" s="18">
        <f>D29/D51</f>
        <v>5.8670707945442747E-2</v>
      </c>
    </row>
    <row r="30" spans="2:6" s="4" customFormat="1" ht="24.95" customHeight="1" x14ac:dyDescent="0.2">
      <c r="B30" s="196"/>
      <c r="C30" s="42" t="s">
        <v>21</v>
      </c>
      <c r="D30" s="192">
        <v>1.4</v>
      </c>
      <c r="E30" s="192"/>
      <c r="F30" s="18">
        <f>D30/D51</f>
        <v>5.0515984700873207E-3</v>
      </c>
    </row>
    <row r="31" spans="2:6" s="4" customFormat="1" ht="24.95" customHeight="1" x14ac:dyDescent="0.2">
      <c r="B31" s="196"/>
      <c r="C31" s="42" t="s">
        <v>39</v>
      </c>
      <c r="D31" s="192">
        <f>8.9+10.74+12.4+7.56</f>
        <v>39.6</v>
      </c>
      <c r="E31" s="192"/>
      <c r="F31" s="18">
        <f>D31/D51</f>
        <v>0.14288807101104137</v>
      </c>
    </row>
    <row r="32" spans="2:6" s="4" customFormat="1" ht="24.95" customHeight="1" x14ac:dyDescent="0.2">
      <c r="B32" s="196"/>
      <c r="C32" s="42" t="s">
        <v>38</v>
      </c>
      <c r="D32" s="192">
        <v>3.3</v>
      </c>
      <c r="E32" s="192"/>
      <c r="F32" s="18">
        <f>D32/D51</f>
        <v>1.1907339250920112E-2</v>
      </c>
    </row>
    <row r="33" spans="2:6" s="4" customFormat="1" ht="24.95" customHeight="1" x14ac:dyDescent="0.2">
      <c r="B33" s="196"/>
      <c r="C33" s="42" t="s">
        <v>27</v>
      </c>
      <c r="D33" s="192">
        <v>5.42</v>
      </c>
      <c r="E33" s="192"/>
      <c r="F33" s="18">
        <f>D33/D51</f>
        <v>1.9556902648480912E-2</v>
      </c>
    </row>
    <row r="34" spans="2:6" s="4" customFormat="1" ht="24.95" customHeight="1" x14ac:dyDescent="0.2">
      <c r="B34" s="196"/>
      <c r="C34" s="43" t="s">
        <v>28</v>
      </c>
      <c r="D34" s="192">
        <f>13.44+4.44+10.7+11.26+11.58</f>
        <v>51.419999999999995</v>
      </c>
      <c r="E34" s="192"/>
      <c r="F34" s="18">
        <f>D34/D51</f>
        <v>0.1855379952370643</v>
      </c>
    </row>
    <row r="35" spans="2:6" s="4" customFormat="1" ht="24.95" customHeight="1" x14ac:dyDescent="0.2">
      <c r="B35" s="196"/>
      <c r="C35" s="43" t="s">
        <v>29</v>
      </c>
      <c r="D35" s="192">
        <v>2.78</v>
      </c>
      <c r="E35" s="192"/>
      <c r="F35" s="18">
        <f>D35/D51</f>
        <v>1.0031031247744822E-2</v>
      </c>
    </row>
    <row r="36" spans="2:6" s="4" customFormat="1" ht="24.95" customHeight="1" x14ac:dyDescent="0.2">
      <c r="B36" s="196"/>
      <c r="C36" s="43" t="s">
        <v>30</v>
      </c>
      <c r="D36" s="192">
        <v>3.54</v>
      </c>
      <c r="E36" s="192"/>
      <c r="F36" s="18">
        <f>D36/D51</f>
        <v>1.277332756007794E-2</v>
      </c>
    </row>
    <row r="37" spans="2:6" s="4" customFormat="1" ht="24.95" customHeight="1" x14ac:dyDescent="0.2">
      <c r="B37" s="196"/>
      <c r="C37" s="43" t="s">
        <v>40</v>
      </c>
      <c r="D37" s="192">
        <f>7+7.72+6.5+8.4</f>
        <v>29.619999999999997</v>
      </c>
      <c r="E37" s="192"/>
      <c r="F37" s="18">
        <f>D37/D51</f>
        <v>0.10687739048856174</v>
      </c>
    </row>
    <row r="38" spans="2:6" s="4" customFormat="1" ht="24.95" customHeight="1" thickBot="1" x14ac:dyDescent="0.25">
      <c r="B38" s="197"/>
      <c r="C38" s="35" t="s">
        <v>41</v>
      </c>
      <c r="D38" s="193">
        <f>15.04+21.6+10.2+14.98+9.94</f>
        <v>71.760000000000005</v>
      </c>
      <c r="E38" s="193"/>
      <c r="F38" s="19">
        <f>D38/D51</f>
        <v>0.2589305044381901</v>
      </c>
    </row>
    <row r="39" spans="2:6" s="4" customFormat="1" ht="12.75" customHeight="1" thickBot="1" x14ac:dyDescent="0.25">
      <c r="B39" s="198"/>
      <c r="C39" s="199"/>
      <c r="D39" s="199"/>
      <c r="E39" s="199"/>
      <c r="F39" s="200"/>
    </row>
    <row r="40" spans="2:6" s="4" customFormat="1" ht="24.95" customHeight="1" x14ac:dyDescent="0.2">
      <c r="B40" s="208" t="s">
        <v>31</v>
      </c>
      <c r="C40" s="38" t="s">
        <v>32</v>
      </c>
      <c r="D40" s="191">
        <v>0.18</v>
      </c>
      <c r="E40" s="191"/>
      <c r="F40" s="5">
        <f>+D40/D51</f>
        <v>6.4949123186836975E-4</v>
      </c>
    </row>
    <row r="41" spans="2:6" s="4" customFormat="1" ht="24.95" customHeight="1" x14ac:dyDescent="0.2">
      <c r="B41" s="209"/>
      <c r="C41" s="16" t="s">
        <v>28</v>
      </c>
      <c r="D41" s="192">
        <v>1.1399999999999999</v>
      </c>
      <c r="E41" s="192"/>
      <c r="F41" s="18">
        <f>+D41/D51</f>
        <v>4.1134444684996748E-3</v>
      </c>
    </row>
    <row r="42" spans="2:6" s="4" customFormat="1" ht="24.95" customHeight="1" x14ac:dyDescent="0.2">
      <c r="B42" s="209"/>
      <c r="C42" s="16" t="s">
        <v>30</v>
      </c>
      <c r="D42" s="192">
        <v>0.1</v>
      </c>
      <c r="E42" s="192"/>
      <c r="F42" s="18">
        <f>+D42/D51</f>
        <v>3.6082846214909438E-4</v>
      </c>
    </row>
    <row r="43" spans="2:6" s="4" customFormat="1" ht="24.95" customHeight="1" x14ac:dyDescent="0.2">
      <c r="B43" s="209"/>
      <c r="C43" s="16" t="s">
        <v>40</v>
      </c>
      <c r="D43" s="192">
        <v>0.62</v>
      </c>
      <c r="E43" s="192"/>
      <c r="F43" s="18">
        <f>+D43/D51</f>
        <v>2.2371364653243847E-3</v>
      </c>
    </row>
    <row r="44" spans="2:6" s="4" customFormat="1" ht="24.95" customHeight="1" x14ac:dyDescent="0.2">
      <c r="B44" s="209"/>
      <c r="C44" s="15" t="s">
        <v>43</v>
      </c>
      <c r="D44" s="192">
        <v>0.18</v>
      </c>
      <c r="E44" s="192"/>
      <c r="F44" s="18">
        <f>+D44/D51</f>
        <v>6.4949123186836975E-4</v>
      </c>
    </row>
    <row r="45" spans="2:6" s="4" customFormat="1" ht="24.95" customHeight="1" x14ac:dyDescent="0.2">
      <c r="B45" s="210"/>
      <c r="C45" s="26" t="s">
        <v>24</v>
      </c>
      <c r="D45" s="192">
        <v>0</v>
      </c>
      <c r="E45" s="192"/>
      <c r="F45" s="18">
        <f>+D45/D51</f>
        <v>0</v>
      </c>
    </row>
    <row r="46" spans="2:6" s="4" customFormat="1" ht="24.95" customHeight="1" x14ac:dyDescent="0.2">
      <c r="B46" s="210"/>
      <c r="C46" s="26" t="s">
        <v>39</v>
      </c>
      <c r="D46" s="192">
        <v>0.28000000000000003</v>
      </c>
      <c r="E46" s="192"/>
      <c r="F46" s="18">
        <f>+D46/D51</f>
        <v>1.0103196940174643E-3</v>
      </c>
    </row>
    <row r="47" spans="2:6" s="4" customFormat="1" ht="24.95" customHeight="1" thickBot="1" x14ac:dyDescent="0.25">
      <c r="B47" s="211"/>
      <c r="C47" s="36" t="s">
        <v>44</v>
      </c>
      <c r="D47" s="193">
        <v>0.3</v>
      </c>
      <c r="E47" s="193"/>
      <c r="F47" s="19">
        <f>+D47/D51</f>
        <v>1.082485386447283E-3</v>
      </c>
    </row>
    <row r="48" spans="2:6" s="4" customFormat="1" ht="12.75" customHeight="1" thickBot="1" x14ac:dyDescent="0.25">
      <c r="B48" s="198"/>
      <c r="C48" s="199"/>
      <c r="D48" s="199"/>
      <c r="E48" s="199"/>
      <c r="F48" s="200"/>
    </row>
    <row r="49" spans="2:7" s="4" customFormat="1" ht="24.95" customHeight="1" thickBot="1" x14ac:dyDescent="0.25">
      <c r="B49" s="24" t="s">
        <v>33</v>
      </c>
      <c r="C49" s="26" t="s">
        <v>42</v>
      </c>
      <c r="D49" s="201">
        <v>15.76</v>
      </c>
      <c r="E49" s="201"/>
      <c r="F49" s="25">
        <f>+D49/D51</f>
        <v>5.6866565634697268E-2</v>
      </c>
    </row>
    <row r="50" spans="2:7" s="4" customFormat="1" ht="13.5" thickBot="1" x14ac:dyDescent="0.25">
      <c r="B50" s="202"/>
      <c r="C50" s="203"/>
      <c r="D50" s="203"/>
      <c r="E50" s="203"/>
      <c r="F50" s="204"/>
    </row>
    <row r="51" spans="2:7" ht="30" customHeight="1" thickBot="1" x14ac:dyDescent="0.25">
      <c r="B51" s="212" t="s">
        <v>34</v>
      </c>
      <c r="C51" s="213"/>
      <c r="D51" s="214">
        <f>D19+D20+D21+D22+D23+D24+D26+D27+D28+D29+D30+D31+D32+D33+D34+D35+D36+D37+D38+D40+D41+D42+D43+D44+D45+D46+D47+D49</f>
        <v>277.14</v>
      </c>
      <c r="E51" s="214"/>
      <c r="F51" s="20">
        <f>F19+F20+F21+F22+F23+F24+F26+F27+F28+F29+F30+F31+F32+F33+F34+F35+F36+F37+F38+F40+F41+F42+F43+F44+F45+F46+F47+F49</f>
        <v>1.0000000000000002</v>
      </c>
    </row>
    <row r="52" spans="2:7" ht="9.75" customHeight="1" thickBot="1" x14ac:dyDescent="0.25">
      <c r="B52" s="215"/>
      <c r="C52" s="215"/>
      <c r="D52" s="215"/>
      <c r="E52" s="215"/>
      <c r="F52" s="215"/>
    </row>
    <row r="53" spans="2:7" ht="20.100000000000001" customHeight="1" thickBot="1" x14ac:dyDescent="0.25">
      <c r="B53" s="186" t="s">
        <v>35</v>
      </c>
      <c r="C53" s="187"/>
      <c r="D53" s="187"/>
      <c r="E53" s="187"/>
      <c r="F53" s="216"/>
    </row>
    <row r="54" spans="2:7" ht="27.95" customHeight="1" x14ac:dyDescent="0.2">
      <c r="B54" s="217" t="s">
        <v>123</v>
      </c>
      <c r="C54" s="218"/>
      <c r="D54" s="218"/>
      <c r="E54" s="218"/>
      <c r="F54" s="219"/>
    </row>
    <row r="55" spans="2:7" ht="27.95" customHeight="1" thickBot="1" x14ac:dyDescent="0.25">
      <c r="B55" s="220"/>
      <c r="C55" s="221"/>
      <c r="D55" s="221"/>
      <c r="E55" s="221"/>
      <c r="F55" s="222"/>
    </row>
    <row r="56" spans="2:7" ht="9.9499999999999993" customHeight="1" x14ac:dyDescent="0.2">
      <c r="G56" s="6"/>
    </row>
    <row r="57" spans="2:7" ht="15" customHeight="1" x14ac:dyDescent="0.2">
      <c r="G57" s="6"/>
    </row>
    <row r="58" spans="2:7" ht="12.75" customHeight="1" x14ac:dyDescent="0.2"/>
    <row r="59" spans="2:7" ht="12.75" customHeight="1" x14ac:dyDescent="0.2"/>
  </sheetData>
  <mergeCells count="64">
    <mergeCell ref="B1:B4"/>
    <mergeCell ref="C1:E4"/>
    <mergeCell ref="F1:F4"/>
    <mergeCell ref="B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E11"/>
    <mergeCell ref="B12:F12"/>
    <mergeCell ref="B13:F13"/>
    <mergeCell ref="B14:C14"/>
    <mergeCell ref="D14:E14"/>
    <mergeCell ref="B15:C15"/>
    <mergeCell ref="D15:E15"/>
    <mergeCell ref="B16:F16"/>
    <mergeCell ref="B17:F17"/>
    <mergeCell ref="B18:C18"/>
    <mergeCell ref="D18:E18"/>
    <mergeCell ref="B19:B24"/>
    <mergeCell ref="D19:E19"/>
    <mergeCell ref="D20:E20"/>
    <mergeCell ref="D21:E21"/>
    <mergeCell ref="D22:E22"/>
    <mergeCell ref="D23:E23"/>
    <mergeCell ref="D24:E24"/>
    <mergeCell ref="B39:F39"/>
    <mergeCell ref="B25:F25"/>
    <mergeCell ref="B26:B3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B40:B47"/>
    <mergeCell ref="D40:E40"/>
    <mergeCell ref="D41:E41"/>
    <mergeCell ref="D42:E42"/>
    <mergeCell ref="D43:E43"/>
    <mergeCell ref="D44:E44"/>
    <mergeCell ref="D45:E45"/>
    <mergeCell ref="D46:E46"/>
    <mergeCell ref="D47:E47"/>
    <mergeCell ref="B53:F53"/>
    <mergeCell ref="B54:F55"/>
    <mergeCell ref="B48:F48"/>
    <mergeCell ref="D49:E49"/>
    <mergeCell ref="B50:F50"/>
    <mergeCell ref="B51:C51"/>
    <mergeCell ref="D51:E51"/>
    <mergeCell ref="B52:F52"/>
  </mergeCells>
  <conditionalFormatting sqref="F51">
    <cfRule type="expression" dxfId="11" priority="2" stopIfTrue="1">
      <formula>$D$51=0</formula>
    </cfRule>
  </conditionalFormatting>
  <conditionalFormatting sqref="D51:E51">
    <cfRule type="cellIs" dxfId="10" priority="1" stopIfTrue="1" operator="equal">
      <formula>0</formula>
    </cfRule>
  </conditionalFormatting>
  <printOptions horizontalCentered="1"/>
  <pageMargins left="0" right="0" top="0.15748031496062992" bottom="0" header="0.23622047244094491" footer="0.31496062992125984"/>
  <pageSetup paperSize="9" scale="7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G59"/>
  <sheetViews>
    <sheetView workbookViewId="0">
      <selection activeCell="J51" sqref="J51"/>
    </sheetView>
  </sheetViews>
  <sheetFormatPr baseColWidth="10" defaultRowHeight="12.75" x14ac:dyDescent="0.2"/>
  <cols>
    <col min="1" max="1" width="1.7109375" customWidth="1"/>
    <col min="2" max="2" width="24.85546875" customWidth="1"/>
    <col min="3" max="3" width="46.7109375" bestFit="1" customWidth="1"/>
    <col min="5" max="5" width="18.5703125" customWidth="1"/>
    <col min="6" max="6" width="24.28515625" bestFit="1" customWidth="1"/>
  </cols>
  <sheetData>
    <row r="1" spans="2:6" ht="12.75" customHeight="1" x14ac:dyDescent="0.2">
      <c r="B1" s="150" t="s">
        <v>0</v>
      </c>
      <c r="C1" s="153" t="s">
        <v>1</v>
      </c>
      <c r="D1" s="153"/>
      <c r="E1" s="154"/>
      <c r="F1" s="159" t="s">
        <v>2</v>
      </c>
    </row>
    <row r="2" spans="2:6" ht="12.75" customHeight="1" x14ac:dyDescent="0.2">
      <c r="B2" s="151"/>
      <c r="C2" s="155"/>
      <c r="D2" s="155"/>
      <c r="E2" s="156"/>
      <c r="F2" s="160"/>
    </row>
    <row r="3" spans="2:6" ht="12.75" customHeight="1" x14ac:dyDescent="0.2">
      <c r="B3" s="151"/>
      <c r="C3" s="155"/>
      <c r="D3" s="155"/>
      <c r="E3" s="156"/>
      <c r="F3" s="160"/>
    </row>
    <row r="4" spans="2:6" ht="13.5" customHeight="1" thickBot="1" x14ac:dyDescent="0.25">
      <c r="B4" s="152"/>
      <c r="C4" s="157"/>
      <c r="D4" s="157"/>
      <c r="E4" s="158"/>
      <c r="F4" s="161"/>
    </row>
    <row r="5" spans="2:6" ht="9.9499999999999993" customHeight="1" thickBot="1" x14ac:dyDescent="0.25">
      <c r="B5" s="1"/>
      <c r="C5" s="34"/>
      <c r="D5" s="34"/>
      <c r="E5" s="34"/>
      <c r="F5" s="2"/>
    </row>
    <row r="6" spans="2:6" ht="20.100000000000001" customHeight="1" thickBot="1" x14ac:dyDescent="0.3">
      <c r="B6" s="162" t="s">
        <v>3</v>
      </c>
      <c r="C6" s="163"/>
      <c r="D6" s="163"/>
      <c r="E6" s="163"/>
      <c r="F6" s="164"/>
    </row>
    <row r="7" spans="2:6" ht="20.100000000000001" customHeight="1" x14ac:dyDescent="0.2">
      <c r="B7" s="165" t="s">
        <v>4</v>
      </c>
      <c r="C7" s="166"/>
      <c r="D7" s="167" t="s">
        <v>5</v>
      </c>
      <c r="E7" s="167"/>
      <c r="F7" s="168"/>
    </row>
    <row r="8" spans="2:6" ht="20.100000000000001" customHeight="1" x14ac:dyDescent="0.2">
      <c r="B8" s="169" t="s">
        <v>6</v>
      </c>
      <c r="C8" s="170"/>
      <c r="D8" s="171" t="s">
        <v>36</v>
      </c>
      <c r="E8" s="171"/>
      <c r="F8" s="172"/>
    </row>
    <row r="9" spans="2:6" ht="20.100000000000001" customHeight="1" x14ac:dyDescent="0.2">
      <c r="B9" s="169" t="s">
        <v>7</v>
      </c>
      <c r="C9" s="170"/>
      <c r="D9" s="171" t="s">
        <v>124</v>
      </c>
      <c r="E9" s="171"/>
      <c r="F9" s="172"/>
    </row>
    <row r="10" spans="2:6" ht="20.100000000000001" customHeight="1" x14ac:dyDescent="0.2">
      <c r="B10" s="169" t="s">
        <v>8</v>
      </c>
      <c r="C10" s="170"/>
      <c r="D10" s="173" t="s">
        <v>125</v>
      </c>
      <c r="E10" s="173"/>
      <c r="F10" s="174"/>
    </row>
    <row r="11" spans="2:6" ht="20.100000000000001" customHeight="1" thickBot="1" x14ac:dyDescent="0.25">
      <c r="B11" s="175" t="s">
        <v>9</v>
      </c>
      <c r="C11" s="176"/>
      <c r="D11" s="177">
        <v>43610</v>
      </c>
      <c r="E11" s="178"/>
      <c r="F11" s="3">
        <v>5.5</v>
      </c>
    </row>
    <row r="12" spans="2:6" ht="9.9499999999999993" customHeight="1" thickBot="1" x14ac:dyDescent="0.25">
      <c r="B12" s="179"/>
      <c r="C12" s="179"/>
      <c r="D12" s="179"/>
      <c r="E12" s="179"/>
      <c r="F12" s="179"/>
    </row>
    <row r="13" spans="2:6" ht="20.100000000000001" customHeight="1" thickBot="1" x14ac:dyDescent="0.25">
      <c r="B13" s="180" t="s">
        <v>10</v>
      </c>
      <c r="C13" s="181"/>
      <c r="D13" s="181"/>
      <c r="E13" s="181"/>
      <c r="F13" s="182"/>
    </row>
    <row r="14" spans="2:6" ht="20.100000000000001" customHeight="1" x14ac:dyDescent="0.2">
      <c r="B14" s="183" t="s">
        <v>11</v>
      </c>
      <c r="C14" s="184"/>
      <c r="D14" s="185" t="s">
        <v>91</v>
      </c>
      <c r="E14" s="185"/>
      <c r="F14" s="27" t="s">
        <v>99</v>
      </c>
    </row>
    <row r="15" spans="2:6" ht="20.100000000000001" customHeight="1" thickBot="1" x14ac:dyDescent="0.25">
      <c r="B15" s="175" t="s">
        <v>12</v>
      </c>
      <c r="C15" s="176"/>
      <c r="D15" s="177">
        <v>43614</v>
      </c>
      <c r="E15" s="177"/>
      <c r="F15" s="17" t="s">
        <v>122</v>
      </c>
    </row>
    <row r="16" spans="2:6" ht="9.9499999999999993" customHeight="1" thickBot="1" x14ac:dyDescent="0.25">
      <c r="B16" s="179"/>
      <c r="C16" s="179"/>
      <c r="D16" s="179"/>
      <c r="E16" s="179"/>
      <c r="F16" s="179"/>
    </row>
    <row r="17" spans="2:6" ht="20.100000000000001" customHeight="1" thickBot="1" x14ac:dyDescent="0.25">
      <c r="B17" s="180" t="s">
        <v>13</v>
      </c>
      <c r="C17" s="181"/>
      <c r="D17" s="181"/>
      <c r="E17" s="181"/>
      <c r="F17" s="182"/>
    </row>
    <row r="18" spans="2:6" ht="15.75" thickBot="1" x14ac:dyDescent="0.25">
      <c r="B18" s="186" t="s">
        <v>14</v>
      </c>
      <c r="C18" s="187"/>
      <c r="D18" s="187" t="s">
        <v>15</v>
      </c>
      <c r="E18" s="187"/>
      <c r="F18" s="39" t="s">
        <v>16</v>
      </c>
    </row>
    <row r="19" spans="2:6" s="4" customFormat="1" ht="24.95" customHeight="1" x14ac:dyDescent="0.2">
      <c r="B19" s="188" t="s">
        <v>17</v>
      </c>
      <c r="C19" s="38" t="s">
        <v>18</v>
      </c>
      <c r="D19" s="191">
        <v>0.14000000000000001</v>
      </c>
      <c r="E19" s="191"/>
      <c r="F19" s="5">
        <f>+D19/D51</f>
        <v>5.9798393985990091E-4</v>
      </c>
    </row>
    <row r="20" spans="2:6" s="4" customFormat="1" ht="24.95" customHeight="1" x14ac:dyDescent="0.2">
      <c r="B20" s="189"/>
      <c r="C20" s="15" t="s">
        <v>19</v>
      </c>
      <c r="D20" s="192">
        <v>1.86</v>
      </c>
      <c r="E20" s="192"/>
      <c r="F20" s="18">
        <f>+D20/D51</f>
        <v>7.9446437724243982E-3</v>
      </c>
    </row>
    <row r="21" spans="2:6" s="4" customFormat="1" ht="24.95" customHeight="1" x14ac:dyDescent="0.2">
      <c r="B21" s="189"/>
      <c r="C21" s="15" t="s">
        <v>20</v>
      </c>
      <c r="D21" s="192">
        <v>0.6</v>
      </c>
      <c r="E21" s="192"/>
      <c r="F21" s="18">
        <f>+D21/D51</f>
        <v>2.5627883136852894E-3</v>
      </c>
    </row>
    <row r="22" spans="2:6" s="4" customFormat="1" ht="24.95" customHeight="1" x14ac:dyDescent="0.2">
      <c r="B22" s="189"/>
      <c r="C22" s="15" t="s">
        <v>21</v>
      </c>
      <c r="D22" s="192">
        <v>0.9</v>
      </c>
      <c r="E22" s="192"/>
      <c r="F22" s="18">
        <f>+D22/D51</f>
        <v>3.8441824705279346E-3</v>
      </c>
    </row>
    <row r="23" spans="2:6" s="4" customFormat="1" ht="24.95" customHeight="1" x14ac:dyDescent="0.2">
      <c r="B23" s="189"/>
      <c r="C23" s="15" t="s">
        <v>22</v>
      </c>
      <c r="D23" s="192">
        <v>0</v>
      </c>
      <c r="E23" s="192"/>
      <c r="F23" s="18">
        <f>+D23/D51</f>
        <v>0</v>
      </c>
    </row>
    <row r="24" spans="2:6" s="4" customFormat="1" ht="24.95" customHeight="1" thickBot="1" x14ac:dyDescent="0.25">
      <c r="B24" s="190"/>
      <c r="C24" s="36" t="s">
        <v>37</v>
      </c>
      <c r="D24" s="193">
        <f>5.7+0.44</f>
        <v>6.1400000000000006</v>
      </c>
      <c r="E24" s="193"/>
      <c r="F24" s="19">
        <f>+D24/D51</f>
        <v>2.6225867076712799E-2</v>
      </c>
    </row>
    <row r="25" spans="2:6" s="4" customFormat="1" ht="13.5" thickBot="1" x14ac:dyDescent="0.25">
      <c r="B25" s="205"/>
      <c r="C25" s="206"/>
      <c r="D25" s="206"/>
      <c r="E25" s="206"/>
      <c r="F25" s="207"/>
    </row>
    <row r="26" spans="2:6" s="4" customFormat="1" ht="24.95" customHeight="1" x14ac:dyDescent="0.2">
      <c r="B26" s="194" t="s">
        <v>23</v>
      </c>
      <c r="C26" s="37" t="s">
        <v>24</v>
      </c>
      <c r="D26" s="191">
        <v>0</v>
      </c>
      <c r="E26" s="191"/>
      <c r="F26" s="5">
        <f>+D26/D51</f>
        <v>0</v>
      </c>
    </row>
    <row r="27" spans="2:6" s="4" customFormat="1" ht="24.95" customHeight="1" x14ac:dyDescent="0.2">
      <c r="B27" s="195"/>
      <c r="C27" s="42" t="s">
        <v>43</v>
      </c>
      <c r="D27" s="192">
        <f>9.02+4.9</f>
        <v>13.92</v>
      </c>
      <c r="E27" s="192"/>
      <c r="F27" s="18">
        <f>+D27/D51</f>
        <v>5.945668887749872E-2</v>
      </c>
    </row>
    <row r="28" spans="2:6" s="4" customFormat="1" ht="24.95" customHeight="1" x14ac:dyDescent="0.2">
      <c r="B28" s="196"/>
      <c r="C28" s="42" t="s">
        <v>25</v>
      </c>
      <c r="D28" s="192">
        <f>2.52+3.44+1.5</f>
        <v>7.46</v>
      </c>
      <c r="E28" s="192"/>
      <c r="F28" s="18">
        <f>D28/D51</f>
        <v>3.1864001366820431E-2</v>
      </c>
    </row>
    <row r="29" spans="2:6" s="4" customFormat="1" ht="24.95" customHeight="1" x14ac:dyDescent="0.2">
      <c r="B29" s="196"/>
      <c r="C29" s="42" t="s">
        <v>26</v>
      </c>
      <c r="D29" s="192">
        <f>6.86+4.12+2.8</f>
        <v>13.780000000000001</v>
      </c>
      <c r="E29" s="192"/>
      <c r="F29" s="18">
        <f>D29/D51</f>
        <v>5.8858704937638819E-2</v>
      </c>
    </row>
    <row r="30" spans="2:6" s="4" customFormat="1" ht="24.95" customHeight="1" x14ac:dyDescent="0.2">
      <c r="B30" s="196"/>
      <c r="C30" s="42" t="s">
        <v>21</v>
      </c>
      <c r="D30" s="192">
        <v>0.68</v>
      </c>
      <c r="E30" s="192"/>
      <c r="F30" s="18">
        <f>D30/D51</f>
        <v>2.9044934221766619E-3</v>
      </c>
    </row>
    <row r="31" spans="2:6" s="4" customFormat="1" ht="24.95" customHeight="1" x14ac:dyDescent="0.2">
      <c r="B31" s="196"/>
      <c r="C31" s="42" t="s">
        <v>39</v>
      </c>
      <c r="D31" s="192">
        <f>7.56+6.18+5.24+3.9</f>
        <v>22.879999999999995</v>
      </c>
      <c r="E31" s="192"/>
      <c r="F31" s="18">
        <f>D31/D51</f>
        <v>9.772766102853235E-2</v>
      </c>
    </row>
    <row r="32" spans="2:6" s="4" customFormat="1" ht="24.95" customHeight="1" x14ac:dyDescent="0.2">
      <c r="B32" s="196"/>
      <c r="C32" s="42" t="s">
        <v>38</v>
      </c>
      <c r="D32" s="192">
        <v>5.72</v>
      </c>
      <c r="E32" s="192"/>
      <c r="F32" s="18">
        <f>D32/D51</f>
        <v>2.4431915257133091E-2</v>
      </c>
    </row>
    <row r="33" spans="2:6" s="4" customFormat="1" ht="24.95" customHeight="1" x14ac:dyDescent="0.2">
      <c r="B33" s="196"/>
      <c r="C33" s="42" t="s">
        <v>27</v>
      </c>
      <c r="D33" s="192">
        <v>5.76</v>
      </c>
      <c r="E33" s="192"/>
      <c r="F33" s="18">
        <f>D33/D51</f>
        <v>2.4602767811378778E-2</v>
      </c>
    </row>
    <row r="34" spans="2:6" s="4" customFormat="1" ht="24.95" customHeight="1" x14ac:dyDescent="0.2">
      <c r="B34" s="196"/>
      <c r="C34" s="43" t="s">
        <v>28</v>
      </c>
      <c r="D34" s="192">
        <f>12.26+8.88</f>
        <v>21.14</v>
      </c>
      <c r="E34" s="192"/>
      <c r="F34" s="18">
        <f>D34/D51</f>
        <v>9.0295574918845031E-2</v>
      </c>
    </row>
    <row r="35" spans="2:6" s="4" customFormat="1" ht="24.95" customHeight="1" x14ac:dyDescent="0.2">
      <c r="B35" s="196"/>
      <c r="C35" s="43" t="s">
        <v>29</v>
      </c>
      <c r="D35" s="192">
        <v>0.5</v>
      </c>
      <c r="E35" s="192"/>
      <c r="F35" s="18">
        <f>D35/D51</f>
        <v>2.1356569280710745E-3</v>
      </c>
    </row>
    <row r="36" spans="2:6" s="4" customFormat="1" ht="24.95" customHeight="1" x14ac:dyDescent="0.2">
      <c r="B36" s="196"/>
      <c r="C36" s="43" t="s">
        <v>30</v>
      </c>
      <c r="D36" s="192">
        <f>15.14+14.36+13.26</f>
        <v>42.76</v>
      </c>
      <c r="E36" s="192"/>
      <c r="F36" s="18">
        <f>D36/D51</f>
        <v>0.18264138048863829</v>
      </c>
    </row>
    <row r="37" spans="2:6" s="4" customFormat="1" ht="24.95" customHeight="1" x14ac:dyDescent="0.2">
      <c r="B37" s="196"/>
      <c r="C37" s="43" t="s">
        <v>40</v>
      </c>
      <c r="D37" s="224">
        <f>10.04+6.02</f>
        <v>16.059999999999999</v>
      </c>
      <c r="E37" s="192"/>
      <c r="F37" s="18">
        <f>D37/D51</f>
        <v>6.8597300529642913E-2</v>
      </c>
    </row>
    <row r="38" spans="2:6" s="4" customFormat="1" ht="24.95" customHeight="1" thickBot="1" x14ac:dyDescent="0.25">
      <c r="B38" s="197"/>
      <c r="C38" s="35" t="s">
        <v>41</v>
      </c>
      <c r="D38" s="193">
        <f>16.64+6.4+9.36+9.08+8.66+10.24</f>
        <v>60.38</v>
      </c>
      <c r="E38" s="193"/>
      <c r="F38" s="19">
        <f>D38/D51</f>
        <v>0.25790193063386296</v>
      </c>
    </row>
    <row r="39" spans="2:6" s="4" customFormat="1" ht="12.75" customHeight="1" thickBot="1" x14ac:dyDescent="0.25">
      <c r="B39" s="198"/>
      <c r="C39" s="199"/>
      <c r="D39" s="199"/>
      <c r="E39" s="199"/>
      <c r="F39" s="200"/>
    </row>
    <row r="40" spans="2:6" s="4" customFormat="1" ht="24.95" customHeight="1" x14ac:dyDescent="0.2">
      <c r="B40" s="208" t="s">
        <v>31</v>
      </c>
      <c r="C40" s="38" t="s">
        <v>32</v>
      </c>
      <c r="D40" s="191">
        <v>0.12</v>
      </c>
      <c r="E40" s="191"/>
      <c r="F40" s="5">
        <f>+D40/D51</f>
        <v>5.1255766273705791E-4</v>
      </c>
    </row>
    <row r="41" spans="2:6" s="4" customFormat="1" ht="24.95" customHeight="1" x14ac:dyDescent="0.2">
      <c r="B41" s="209"/>
      <c r="C41" s="16" t="s">
        <v>28</v>
      </c>
      <c r="D41" s="192">
        <v>0.7</v>
      </c>
      <c r="E41" s="192"/>
      <c r="F41" s="18">
        <f>+D41/D51</f>
        <v>2.9899196992995043E-3</v>
      </c>
    </row>
    <row r="42" spans="2:6" s="4" customFormat="1" ht="24.95" customHeight="1" x14ac:dyDescent="0.2">
      <c r="B42" s="209"/>
      <c r="C42" s="16" t="s">
        <v>30</v>
      </c>
      <c r="D42" s="192">
        <f>2.74+2.56</f>
        <v>5.3000000000000007</v>
      </c>
      <c r="E42" s="192"/>
      <c r="F42" s="18">
        <f>+D42/D51</f>
        <v>2.2637963437553393E-2</v>
      </c>
    </row>
    <row r="43" spans="2:6" s="4" customFormat="1" ht="24.95" customHeight="1" x14ac:dyDescent="0.2">
      <c r="B43" s="209"/>
      <c r="C43" s="16" t="s">
        <v>40</v>
      </c>
      <c r="D43" s="192">
        <v>0.5</v>
      </c>
      <c r="E43" s="192"/>
      <c r="F43" s="18">
        <f>+D43/D51</f>
        <v>2.1356569280710745E-3</v>
      </c>
    </row>
    <row r="44" spans="2:6" s="4" customFormat="1" ht="24.95" customHeight="1" x14ac:dyDescent="0.2">
      <c r="B44" s="209"/>
      <c r="C44" s="15" t="s">
        <v>43</v>
      </c>
      <c r="D44" s="192">
        <v>0.28000000000000003</v>
      </c>
      <c r="E44" s="192"/>
      <c r="F44" s="18">
        <f>+D44/D51</f>
        <v>1.1959678797198018E-3</v>
      </c>
    </row>
    <row r="45" spans="2:6" s="4" customFormat="1" ht="24.95" customHeight="1" x14ac:dyDescent="0.2">
      <c r="B45" s="210"/>
      <c r="C45" s="26" t="s">
        <v>24</v>
      </c>
      <c r="D45" s="192">
        <v>0.32</v>
      </c>
      <c r="E45" s="192"/>
      <c r="F45" s="18">
        <f>+D45/D51</f>
        <v>1.3668204339654878E-3</v>
      </c>
    </row>
    <row r="46" spans="2:6" s="4" customFormat="1" ht="24.95" customHeight="1" x14ac:dyDescent="0.2">
      <c r="B46" s="210"/>
      <c r="C46" s="26" t="s">
        <v>39</v>
      </c>
      <c r="D46" s="192">
        <v>0.28000000000000003</v>
      </c>
      <c r="E46" s="192"/>
      <c r="F46" s="18">
        <f>+D46/D51</f>
        <v>1.1959678797198018E-3</v>
      </c>
    </row>
    <row r="47" spans="2:6" s="4" customFormat="1" ht="24.95" customHeight="1" thickBot="1" x14ac:dyDescent="0.25">
      <c r="B47" s="211"/>
      <c r="C47" s="36" t="s">
        <v>44</v>
      </c>
      <c r="D47" s="193">
        <v>0.38</v>
      </c>
      <c r="E47" s="193"/>
      <c r="F47" s="19">
        <f>+D47/D51</f>
        <v>1.6230992653340167E-3</v>
      </c>
    </row>
    <row r="48" spans="2:6" s="4" customFormat="1" ht="12.75" customHeight="1" thickBot="1" x14ac:dyDescent="0.25">
      <c r="B48" s="198"/>
      <c r="C48" s="199"/>
      <c r="D48" s="199"/>
      <c r="E48" s="199"/>
      <c r="F48" s="200"/>
    </row>
    <row r="49" spans="2:7" s="4" customFormat="1" ht="24.95" customHeight="1" thickBot="1" x14ac:dyDescent="0.25">
      <c r="B49" s="24" t="s">
        <v>33</v>
      </c>
      <c r="C49" s="26" t="s">
        <v>42</v>
      </c>
      <c r="D49" s="201">
        <v>5.56</v>
      </c>
      <c r="E49" s="201"/>
      <c r="F49" s="25">
        <f>+D49/D51</f>
        <v>2.3748505040150348E-2</v>
      </c>
    </row>
    <row r="50" spans="2:7" s="4" customFormat="1" ht="13.5" thickBot="1" x14ac:dyDescent="0.25">
      <c r="B50" s="202"/>
      <c r="C50" s="203"/>
      <c r="D50" s="203"/>
      <c r="E50" s="203"/>
      <c r="F50" s="204"/>
    </row>
    <row r="51" spans="2:7" ht="30" customHeight="1" thickBot="1" x14ac:dyDescent="0.25">
      <c r="B51" s="212" t="s">
        <v>34</v>
      </c>
      <c r="C51" s="213"/>
      <c r="D51" s="214">
        <f>D19+D20+D21+D22+D23+D24+D26+D27+D28+D29+D30+D31+D32+D33+D34+D35+D36+D37+D38+D40+D41+D42+D43+D44+D45+D46+D47+D49</f>
        <v>234.12</v>
      </c>
      <c r="E51" s="214"/>
      <c r="F51" s="20">
        <f>F19+F20+F21+F22+F23+F24+F26+F27+F28+F29+F30+F31+F32+F33+F34+F35+F36+F37+F38+F40+F41+F42+F43+F44+F45+F46+F47+F49</f>
        <v>0.99999999999999989</v>
      </c>
    </row>
    <row r="52" spans="2:7" ht="9.75" customHeight="1" thickBot="1" x14ac:dyDescent="0.25">
      <c r="B52" s="215"/>
      <c r="C52" s="215"/>
      <c r="D52" s="215"/>
      <c r="E52" s="215"/>
      <c r="F52" s="215"/>
    </row>
    <row r="53" spans="2:7" ht="20.100000000000001" customHeight="1" thickBot="1" x14ac:dyDescent="0.25">
      <c r="B53" s="186" t="s">
        <v>35</v>
      </c>
      <c r="C53" s="187"/>
      <c r="D53" s="187"/>
      <c r="E53" s="187"/>
      <c r="F53" s="216"/>
    </row>
    <row r="54" spans="2:7" ht="27.95" customHeight="1" x14ac:dyDescent="0.2">
      <c r="B54" s="223" t="s">
        <v>126</v>
      </c>
      <c r="C54" s="218"/>
      <c r="D54" s="218"/>
      <c r="E54" s="218"/>
      <c r="F54" s="219"/>
    </row>
    <row r="55" spans="2:7" ht="27.95" customHeight="1" thickBot="1" x14ac:dyDescent="0.25">
      <c r="B55" s="220"/>
      <c r="C55" s="221"/>
      <c r="D55" s="221"/>
      <c r="E55" s="221"/>
      <c r="F55" s="222"/>
    </row>
    <row r="56" spans="2:7" ht="9.9499999999999993" customHeight="1" x14ac:dyDescent="0.2">
      <c r="G56" s="6"/>
    </row>
    <row r="57" spans="2:7" ht="15" customHeight="1" x14ac:dyDescent="0.2">
      <c r="G57" s="6"/>
    </row>
    <row r="58" spans="2:7" ht="12.75" customHeight="1" x14ac:dyDescent="0.2"/>
    <row r="59" spans="2:7" ht="12.75" customHeight="1" x14ac:dyDescent="0.2"/>
  </sheetData>
  <mergeCells count="64">
    <mergeCell ref="B1:B4"/>
    <mergeCell ref="C1:E4"/>
    <mergeCell ref="F1:F4"/>
    <mergeCell ref="B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E11"/>
    <mergeCell ref="B12:F12"/>
    <mergeCell ref="B13:F13"/>
    <mergeCell ref="B14:C14"/>
    <mergeCell ref="D14:E14"/>
    <mergeCell ref="B15:C15"/>
    <mergeCell ref="D15:E15"/>
    <mergeCell ref="B16:F16"/>
    <mergeCell ref="B17:F17"/>
    <mergeCell ref="B18:C18"/>
    <mergeCell ref="D18:E18"/>
    <mergeCell ref="B19:B24"/>
    <mergeCell ref="D19:E19"/>
    <mergeCell ref="D20:E20"/>
    <mergeCell ref="D21:E21"/>
    <mergeCell ref="D22:E22"/>
    <mergeCell ref="D23:E23"/>
    <mergeCell ref="D24:E24"/>
    <mergeCell ref="B39:F39"/>
    <mergeCell ref="B25:F25"/>
    <mergeCell ref="B26:B3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B40:B47"/>
    <mergeCell ref="D40:E40"/>
    <mergeCell ref="D41:E41"/>
    <mergeCell ref="D42:E42"/>
    <mergeCell ref="D43:E43"/>
    <mergeCell ref="D44:E44"/>
    <mergeCell ref="D45:E45"/>
    <mergeCell ref="D46:E46"/>
    <mergeCell ref="D47:E47"/>
    <mergeCell ref="B53:F53"/>
    <mergeCell ref="B54:F55"/>
    <mergeCell ref="B48:F48"/>
    <mergeCell ref="D49:E49"/>
    <mergeCell ref="B50:F50"/>
    <mergeCell ref="B51:C51"/>
    <mergeCell ref="D51:E51"/>
    <mergeCell ref="B52:F52"/>
  </mergeCells>
  <conditionalFormatting sqref="F51">
    <cfRule type="expression" dxfId="9" priority="2" stopIfTrue="1">
      <formula>$D$51=0</formula>
    </cfRule>
  </conditionalFormatting>
  <conditionalFormatting sqref="D51:E51">
    <cfRule type="cellIs" dxfId="8" priority="1" stopIfTrue="1" operator="equal">
      <formula>0</formula>
    </cfRule>
  </conditionalFormatting>
  <printOptions horizontalCentered="1"/>
  <pageMargins left="0" right="0" top="0.15748031496062992" bottom="0" header="0.23622047244094491" footer="0.31496062992125984"/>
  <pageSetup paperSize="9" scale="7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G59"/>
  <sheetViews>
    <sheetView topLeftCell="A34" workbookViewId="0">
      <selection activeCell="B56" sqref="B56"/>
    </sheetView>
  </sheetViews>
  <sheetFormatPr baseColWidth="10" defaultRowHeight="12.75" x14ac:dyDescent="0.2"/>
  <cols>
    <col min="1" max="1" width="1.7109375" customWidth="1"/>
    <col min="2" max="2" width="24.85546875" customWidth="1"/>
    <col min="3" max="3" width="46.7109375" bestFit="1" customWidth="1"/>
    <col min="5" max="5" width="18.5703125" customWidth="1"/>
    <col min="6" max="6" width="24.28515625" bestFit="1" customWidth="1"/>
  </cols>
  <sheetData>
    <row r="1" spans="2:6" ht="12.75" customHeight="1" x14ac:dyDescent="0.2">
      <c r="B1" s="150" t="s">
        <v>0</v>
      </c>
      <c r="C1" s="153" t="s">
        <v>1</v>
      </c>
      <c r="D1" s="153"/>
      <c r="E1" s="154"/>
      <c r="F1" s="159" t="s">
        <v>2</v>
      </c>
    </row>
    <row r="2" spans="2:6" ht="12.75" customHeight="1" x14ac:dyDescent="0.2">
      <c r="B2" s="151"/>
      <c r="C2" s="155"/>
      <c r="D2" s="155"/>
      <c r="E2" s="156"/>
      <c r="F2" s="160"/>
    </row>
    <row r="3" spans="2:6" ht="12.75" customHeight="1" x14ac:dyDescent="0.2">
      <c r="B3" s="151"/>
      <c r="C3" s="155"/>
      <c r="D3" s="155"/>
      <c r="E3" s="156"/>
      <c r="F3" s="160"/>
    </row>
    <row r="4" spans="2:6" ht="13.5" customHeight="1" thickBot="1" x14ac:dyDescent="0.25">
      <c r="B4" s="152"/>
      <c r="C4" s="157"/>
      <c r="D4" s="157"/>
      <c r="E4" s="158"/>
      <c r="F4" s="161"/>
    </row>
    <row r="5" spans="2:6" ht="9.9499999999999993" customHeight="1" thickBot="1" x14ac:dyDescent="0.25">
      <c r="B5" s="32"/>
      <c r="C5" s="21"/>
      <c r="D5" s="21"/>
      <c r="E5" s="21"/>
      <c r="F5" s="33"/>
    </row>
    <row r="6" spans="2:6" ht="20.100000000000001" customHeight="1" thickBot="1" x14ac:dyDescent="0.3">
      <c r="B6" s="162" t="s">
        <v>3</v>
      </c>
      <c r="C6" s="163"/>
      <c r="D6" s="163"/>
      <c r="E6" s="163"/>
      <c r="F6" s="164"/>
    </row>
    <row r="7" spans="2:6" ht="20.100000000000001" customHeight="1" x14ac:dyDescent="0.2">
      <c r="B7" s="165" t="s">
        <v>4</v>
      </c>
      <c r="C7" s="166"/>
      <c r="D7" s="167" t="s">
        <v>5</v>
      </c>
      <c r="E7" s="167"/>
      <c r="F7" s="168"/>
    </row>
    <row r="8" spans="2:6" ht="20.100000000000001" customHeight="1" x14ac:dyDescent="0.2">
      <c r="B8" s="169" t="s">
        <v>6</v>
      </c>
      <c r="C8" s="170"/>
      <c r="D8" s="171" t="s">
        <v>36</v>
      </c>
      <c r="E8" s="171"/>
      <c r="F8" s="172"/>
    </row>
    <row r="9" spans="2:6" ht="20.100000000000001" customHeight="1" x14ac:dyDescent="0.2">
      <c r="B9" s="169" t="s">
        <v>7</v>
      </c>
      <c r="C9" s="170"/>
      <c r="D9" s="171" t="s">
        <v>129</v>
      </c>
      <c r="E9" s="171"/>
      <c r="F9" s="172"/>
    </row>
    <row r="10" spans="2:6" ht="20.100000000000001" customHeight="1" x14ac:dyDescent="0.2">
      <c r="B10" s="169" t="s">
        <v>8</v>
      </c>
      <c r="C10" s="170"/>
      <c r="D10" s="173" t="s">
        <v>71</v>
      </c>
      <c r="E10" s="173"/>
      <c r="F10" s="174"/>
    </row>
    <row r="11" spans="2:6" ht="20.100000000000001" customHeight="1" thickBot="1" x14ac:dyDescent="0.25">
      <c r="B11" s="175" t="s">
        <v>9</v>
      </c>
      <c r="C11" s="176"/>
      <c r="D11" s="177">
        <v>43612</v>
      </c>
      <c r="E11" s="178"/>
      <c r="F11" s="3">
        <v>6.02</v>
      </c>
    </row>
    <row r="12" spans="2:6" ht="9.9499999999999993" customHeight="1" thickBot="1" x14ac:dyDescent="0.25">
      <c r="B12" s="179"/>
      <c r="C12" s="179"/>
      <c r="D12" s="179"/>
      <c r="E12" s="179"/>
      <c r="F12" s="179"/>
    </row>
    <row r="13" spans="2:6" ht="20.100000000000001" customHeight="1" thickBot="1" x14ac:dyDescent="0.25">
      <c r="B13" s="180" t="s">
        <v>10</v>
      </c>
      <c r="C13" s="181"/>
      <c r="D13" s="181"/>
      <c r="E13" s="181"/>
      <c r="F13" s="182"/>
    </row>
    <row r="14" spans="2:6" ht="20.100000000000001" customHeight="1" x14ac:dyDescent="0.2">
      <c r="B14" s="183" t="s">
        <v>11</v>
      </c>
      <c r="C14" s="184"/>
      <c r="D14" s="185" t="s">
        <v>91</v>
      </c>
      <c r="E14" s="185"/>
      <c r="F14" s="27" t="s">
        <v>99</v>
      </c>
    </row>
    <row r="15" spans="2:6" ht="20.100000000000001" customHeight="1" thickBot="1" x14ac:dyDescent="0.25">
      <c r="B15" s="175" t="s">
        <v>12</v>
      </c>
      <c r="C15" s="176"/>
      <c r="D15" s="177">
        <v>43614</v>
      </c>
      <c r="E15" s="177"/>
      <c r="F15" s="17" t="s">
        <v>116</v>
      </c>
    </row>
    <row r="16" spans="2:6" ht="9.9499999999999993" customHeight="1" thickBot="1" x14ac:dyDescent="0.25">
      <c r="B16" s="179"/>
      <c r="C16" s="179"/>
      <c r="D16" s="179"/>
      <c r="E16" s="179"/>
      <c r="F16" s="179"/>
    </row>
    <row r="17" spans="2:6" ht="20.100000000000001" customHeight="1" thickBot="1" x14ac:dyDescent="0.25">
      <c r="B17" s="180" t="s">
        <v>13</v>
      </c>
      <c r="C17" s="181"/>
      <c r="D17" s="181"/>
      <c r="E17" s="181"/>
      <c r="F17" s="182"/>
    </row>
    <row r="18" spans="2:6" ht="15.75" thickBot="1" x14ac:dyDescent="0.25">
      <c r="B18" s="186" t="s">
        <v>14</v>
      </c>
      <c r="C18" s="187"/>
      <c r="D18" s="187" t="s">
        <v>15</v>
      </c>
      <c r="E18" s="187"/>
      <c r="F18" s="13" t="s">
        <v>16</v>
      </c>
    </row>
    <row r="19" spans="2:6" s="4" customFormat="1" ht="24.95" customHeight="1" x14ac:dyDescent="0.2">
      <c r="B19" s="188" t="s">
        <v>17</v>
      </c>
      <c r="C19" s="14" t="s">
        <v>18</v>
      </c>
      <c r="D19" s="191">
        <v>0</v>
      </c>
      <c r="E19" s="191"/>
      <c r="F19" s="5">
        <f>+D19/D51</f>
        <v>0</v>
      </c>
    </row>
    <row r="20" spans="2:6" s="4" customFormat="1" ht="24.95" customHeight="1" x14ac:dyDescent="0.2">
      <c r="B20" s="189"/>
      <c r="C20" s="15" t="s">
        <v>19</v>
      </c>
      <c r="D20" s="192">
        <v>0.32</v>
      </c>
      <c r="E20" s="192"/>
      <c r="F20" s="18">
        <f>+D20/D51</f>
        <v>1.1152701393390633E-3</v>
      </c>
    </row>
    <row r="21" spans="2:6" s="4" customFormat="1" ht="24.95" customHeight="1" x14ac:dyDescent="0.2">
      <c r="B21" s="189"/>
      <c r="C21" s="15" t="s">
        <v>20</v>
      </c>
      <c r="D21" s="192">
        <v>0</v>
      </c>
      <c r="E21" s="192"/>
      <c r="F21" s="18">
        <f>+D21/D51</f>
        <v>0</v>
      </c>
    </row>
    <row r="22" spans="2:6" s="4" customFormat="1" ht="24.95" customHeight="1" x14ac:dyDescent="0.2">
      <c r="B22" s="189"/>
      <c r="C22" s="15" t="s">
        <v>21</v>
      </c>
      <c r="D22" s="192">
        <v>1.22</v>
      </c>
      <c r="E22" s="192"/>
      <c r="F22" s="18">
        <f>+D22/D51</f>
        <v>4.2519674062301786E-3</v>
      </c>
    </row>
    <row r="23" spans="2:6" s="4" customFormat="1" ht="24.95" customHeight="1" x14ac:dyDescent="0.2">
      <c r="B23" s="189"/>
      <c r="C23" s="15" t="s">
        <v>22</v>
      </c>
      <c r="D23" s="192">
        <v>11.9</v>
      </c>
      <c r="E23" s="192"/>
      <c r="F23" s="18">
        <f>+D23/D51</f>
        <v>4.147410830667142E-2</v>
      </c>
    </row>
    <row r="24" spans="2:6" s="4" customFormat="1" ht="24.95" customHeight="1" thickBot="1" x14ac:dyDescent="0.25">
      <c r="B24" s="190"/>
      <c r="C24" s="12" t="s">
        <v>37</v>
      </c>
      <c r="D24" s="193">
        <v>11.54</v>
      </c>
      <c r="E24" s="193"/>
      <c r="F24" s="19">
        <f>+D24/D51</f>
        <v>4.021942939991497E-2</v>
      </c>
    </row>
    <row r="25" spans="2:6" s="4" customFormat="1" ht="13.5" thickBot="1" x14ac:dyDescent="0.25">
      <c r="B25" s="225"/>
      <c r="C25" s="206"/>
      <c r="D25" s="206"/>
      <c r="E25" s="206"/>
      <c r="F25" s="207"/>
    </row>
    <row r="26" spans="2:6" s="4" customFormat="1" ht="24.95" customHeight="1" x14ac:dyDescent="0.2">
      <c r="B26" s="194" t="s">
        <v>23</v>
      </c>
      <c r="C26" s="23" t="s">
        <v>24</v>
      </c>
      <c r="D26" s="191">
        <v>1.7</v>
      </c>
      <c r="E26" s="191"/>
      <c r="F26" s="5">
        <f>+D26/D51</f>
        <v>5.9248726152387734E-3</v>
      </c>
    </row>
    <row r="27" spans="2:6" s="4" customFormat="1" ht="24.95" customHeight="1" x14ac:dyDescent="0.2">
      <c r="B27" s="195"/>
      <c r="C27" s="15" t="s">
        <v>43</v>
      </c>
      <c r="D27" s="192">
        <f>4.2+6.52</f>
        <v>10.719999999999999</v>
      </c>
      <c r="E27" s="192"/>
      <c r="F27" s="18">
        <f>+D27/D51</f>
        <v>3.7361549667858616E-2</v>
      </c>
    </row>
    <row r="28" spans="2:6" s="4" customFormat="1" ht="24.95" customHeight="1" x14ac:dyDescent="0.2">
      <c r="B28" s="196"/>
      <c r="C28" s="15" t="s">
        <v>25</v>
      </c>
      <c r="D28" s="192">
        <f>6.88+1.68</f>
        <v>8.56</v>
      </c>
      <c r="E28" s="192"/>
      <c r="F28" s="18">
        <f>D28/D51</f>
        <v>2.9833476227319945E-2</v>
      </c>
    </row>
    <row r="29" spans="2:6" s="4" customFormat="1" ht="24.95" customHeight="1" x14ac:dyDescent="0.2">
      <c r="B29" s="196"/>
      <c r="C29" s="15" t="s">
        <v>26</v>
      </c>
      <c r="D29" s="192">
        <f>5.48+8.12+4.3</f>
        <v>17.899999999999999</v>
      </c>
      <c r="E29" s="192"/>
      <c r="F29" s="18">
        <f>D29/D51</f>
        <v>6.238542341927885E-2</v>
      </c>
    </row>
    <row r="30" spans="2:6" s="4" customFormat="1" ht="24.95" customHeight="1" x14ac:dyDescent="0.2">
      <c r="B30" s="196"/>
      <c r="C30" s="15" t="s">
        <v>21</v>
      </c>
      <c r="D30" s="192">
        <v>1.82</v>
      </c>
      <c r="E30" s="192"/>
      <c r="F30" s="18">
        <f>D30/D51</f>
        <v>6.3430989174909228E-3</v>
      </c>
    </row>
    <row r="31" spans="2:6" s="4" customFormat="1" ht="24.95" customHeight="1" x14ac:dyDescent="0.2">
      <c r="B31" s="196"/>
      <c r="C31" s="15" t="s">
        <v>39</v>
      </c>
      <c r="D31" s="192">
        <f>6.7+6.2+12.46</f>
        <v>25.36</v>
      </c>
      <c r="E31" s="192"/>
      <c r="F31" s="18">
        <f>D31/D51</f>
        <v>8.8385158542620759E-2</v>
      </c>
    </row>
    <row r="32" spans="2:6" s="4" customFormat="1" ht="24.95" customHeight="1" x14ac:dyDescent="0.2">
      <c r="B32" s="196"/>
      <c r="C32" s="15" t="s">
        <v>38</v>
      </c>
      <c r="D32" s="192">
        <f>12.56+3.98</f>
        <v>16.54</v>
      </c>
      <c r="E32" s="192"/>
      <c r="F32" s="18">
        <f>D32/D51</f>
        <v>5.7645525327087832E-2</v>
      </c>
    </row>
    <row r="33" spans="2:6" s="4" customFormat="1" ht="24.95" customHeight="1" x14ac:dyDescent="0.2">
      <c r="B33" s="196"/>
      <c r="C33" s="15" t="s">
        <v>27</v>
      </c>
      <c r="D33" s="192">
        <v>6.42</v>
      </c>
      <c r="E33" s="192"/>
      <c r="F33" s="18">
        <f>D33/D51</f>
        <v>2.2375107170489957E-2</v>
      </c>
    </row>
    <row r="34" spans="2:6" s="4" customFormat="1" ht="24.95" customHeight="1" x14ac:dyDescent="0.2">
      <c r="B34" s="196"/>
      <c r="C34" s="16" t="s">
        <v>28</v>
      </c>
      <c r="D34" s="192">
        <f>5.8+8.86+8.116</f>
        <v>22.776</v>
      </c>
      <c r="E34" s="192"/>
      <c r="F34" s="18">
        <f>D34/D51</f>
        <v>7.9379352167457826E-2</v>
      </c>
    </row>
    <row r="35" spans="2:6" s="4" customFormat="1" ht="24.95" customHeight="1" x14ac:dyDescent="0.2">
      <c r="B35" s="196"/>
      <c r="C35" s="16" t="s">
        <v>29</v>
      </c>
      <c r="D35" s="192">
        <v>0</v>
      </c>
      <c r="E35" s="192"/>
      <c r="F35" s="18">
        <f>D35/D51</f>
        <v>0</v>
      </c>
    </row>
    <row r="36" spans="2:6" s="4" customFormat="1" ht="24.95" customHeight="1" x14ac:dyDescent="0.2">
      <c r="B36" s="196"/>
      <c r="C36" s="16" t="s">
        <v>30</v>
      </c>
      <c r="D36" s="192">
        <f>17.38+6.22</f>
        <v>23.599999999999998</v>
      </c>
      <c r="E36" s="192"/>
      <c r="F36" s="18">
        <f>D36/D51</f>
        <v>8.2251172776255918E-2</v>
      </c>
    </row>
    <row r="37" spans="2:6" s="4" customFormat="1" ht="24.95" customHeight="1" x14ac:dyDescent="0.2">
      <c r="B37" s="196"/>
      <c r="C37" s="16" t="s">
        <v>40</v>
      </c>
      <c r="D37" s="192">
        <f>15.35+10.28</f>
        <v>25.63</v>
      </c>
      <c r="E37" s="192"/>
      <c r="F37" s="18">
        <f>D37/D51</f>
        <v>8.9326167722688102E-2</v>
      </c>
    </row>
    <row r="38" spans="2:6" s="4" customFormat="1" ht="24.95" customHeight="1" thickBot="1" x14ac:dyDescent="0.25">
      <c r="B38" s="197"/>
      <c r="C38" s="22" t="s">
        <v>41</v>
      </c>
      <c r="D38" s="193">
        <f>14.9+5.58+16.76+11.68+10.3+3.74+4.3</f>
        <v>67.260000000000005</v>
      </c>
      <c r="E38" s="193"/>
      <c r="F38" s="19">
        <f>D38/D51</f>
        <v>0.23441584241232938</v>
      </c>
    </row>
    <row r="39" spans="2:6" s="4" customFormat="1" ht="12.75" customHeight="1" thickBot="1" x14ac:dyDescent="0.25">
      <c r="B39" s="198"/>
      <c r="C39" s="199"/>
      <c r="D39" s="199"/>
      <c r="E39" s="199"/>
      <c r="F39" s="200"/>
    </row>
    <row r="40" spans="2:6" s="4" customFormat="1" ht="24.95" customHeight="1" x14ac:dyDescent="0.2">
      <c r="B40" s="208" t="s">
        <v>31</v>
      </c>
      <c r="C40" s="14" t="s">
        <v>32</v>
      </c>
      <c r="D40" s="191">
        <v>0.42</v>
      </c>
      <c r="E40" s="191"/>
      <c r="F40" s="5">
        <f>+D40/D51</f>
        <v>1.4637920578825206E-3</v>
      </c>
    </row>
    <row r="41" spans="2:6" s="4" customFormat="1" ht="24.95" customHeight="1" x14ac:dyDescent="0.2">
      <c r="B41" s="209"/>
      <c r="C41" s="16" t="s">
        <v>28</v>
      </c>
      <c r="D41" s="192">
        <v>1.1200000000000001</v>
      </c>
      <c r="E41" s="192"/>
      <c r="F41" s="18">
        <f>+D41/D51</f>
        <v>3.9034454876867219E-3</v>
      </c>
    </row>
    <row r="42" spans="2:6" s="4" customFormat="1" ht="24.95" customHeight="1" x14ac:dyDescent="0.2">
      <c r="B42" s="209"/>
      <c r="C42" s="16" t="s">
        <v>30</v>
      </c>
      <c r="D42" s="192">
        <v>1.3</v>
      </c>
      <c r="E42" s="192"/>
      <c r="F42" s="18">
        <f>+D42/D51</f>
        <v>4.5307849410649451E-3</v>
      </c>
    </row>
    <row r="43" spans="2:6" s="4" customFormat="1" ht="24.95" customHeight="1" x14ac:dyDescent="0.2">
      <c r="B43" s="209"/>
      <c r="C43" s="16" t="s">
        <v>40</v>
      </c>
      <c r="D43" s="192">
        <v>0.76</v>
      </c>
      <c r="E43" s="192"/>
      <c r="F43" s="18">
        <f>+D43/D51</f>
        <v>2.6487665809302756E-3</v>
      </c>
    </row>
    <row r="44" spans="2:6" s="4" customFormat="1" ht="24.95" customHeight="1" x14ac:dyDescent="0.2">
      <c r="B44" s="209"/>
      <c r="C44" s="15" t="s">
        <v>43</v>
      </c>
      <c r="D44" s="192">
        <v>0.68</v>
      </c>
      <c r="E44" s="192"/>
      <c r="F44" s="18">
        <f>+D44/D51</f>
        <v>2.3699490460955099E-3</v>
      </c>
    </row>
    <row r="45" spans="2:6" s="4" customFormat="1" ht="24.95" customHeight="1" x14ac:dyDescent="0.2">
      <c r="B45" s="210"/>
      <c r="C45" s="26" t="s">
        <v>24</v>
      </c>
      <c r="D45" s="192">
        <v>0</v>
      </c>
      <c r="E45" s="192"/>
      <c r="F45" s="18">
        <f>+D45/D51</f>
        <v>0</v>
      </c>
    </row>
    <row r="46" spans="2:6" s="4" customFormat="1" ht="24.95" customHeight="1" x14ac:dyDescent="0.2">
      <c r="B46" s="210"/>
      <c r="C46" s="26" t="s">
        <v>39</v>
      </c>
      <c r="D46" s="192">
        <v>0.9</v>
      </c>
      <c r="E46" s="192"/>
      <c r="F46" s="18">
        <f>+D46/D51</f>
        <v>3.1366972668911155E-3</v>
      </c>
    </row>
    <row r="47" spans="2:6" s="4" customFormat="1" ht="24.95" customHeight="1" thickBot="1" x14ac:dyDescent="0.25">
      <c r="B47" s="211"/>
      <c r="C47" s="12" t="s">
        <v>44</v>
      </c>
      <c r="D47" s="193">
        <v>0.56000000000000005</v>
      </c>
      <c r="E47" s="193"/>
      <c r="F47" s="19">
        <f>+D47/D51</f>
        <v>1.951722743843361E-3</v>
      </c>
    </row>
    <row r="48" spans="2:6" s="4" customFormat="1" ht="12.75" customHeight="1" thickBot="1" x14ac:dyDescent="0.25">
      <c r="B48" s="198"/>
      <c r="C48" s="199"/>
      <c r="D48" s="199"/>
      <c r="E48" s="199"/>
      <c r="F48" s="200"/>
    </row>
    <row r="49" spans="2:7" s="4" customFormat="1" ht="24.95" customHeight="1" thickBot="1" x14ac:dyDescent="0.25">
      <c r="B49" s="24" t="s">
        <v>33</v>
      </c>
      <c r="C49" s="26" t="s">
        <v>42</v>
      </c>
      <c r="D49" s="226">
        <f>11.6+16.32</f>
        <v>27.92</v>
      </c>
      <c r="E49" s="226"/>
      <c r="F49" s="25">
        <f>+D49/D51</f>
        <v>9.7307319657333274E-2</v>
      </c>
    </row>
    <row r="50" spans="2:7" s="4" customFormat="1" ht="13.5" thickBot="1" x14ac:dyDescent="0.25">
      <c r="B50" s="202"/>
      <c r="C50" s="203"/>
      <c r="D50" s="203"/>
      <c r="E50" s="203"/>
      <c r="F50" s="204"/>
    </row>
    <row r="51" spans="2:7" ht="30" customHeight="1" thickBot="1" x14ac:dyDescent="0.25">
      <c r="B51" s="212" t="s">
        <v>34</v>
      </c>
      <c r="C51" s="213"/>
      <c r="D51" s="214">
        <f>D19+D20+D21+D22+D23+D24+D26+D27+D28+D29+D30+D31+D32+D33+D34+D35+D36+D37+D38+D40+D41+D42+D43+D44+D45+D46+D47+D49</f>
        <v>286.92599999999993</v>
      </c>
      <c r="E51" s="214"/>
      <c r="F51" s="20">
        <f>F19+F20+F21+F22+F23+F24+F26+F27+F28+F29+F30+F31+F32+F33+F34+F35+F36+F37+F38+F40+F41+F42+F43+F44+F45+F46+F47+F49</f>
        <v>1.0000000000000002</v>
      </c>
    </row>
    <row r="52" spans="2:7" ht="9.75" customHeight="1" thickBot="1" x14ac:dyDescent="0.25">
      <c r="B52" s="215"/>
      <c r="C52" s="215"/>
      <c r="D52" s="215"/>
      <c r="E52" s="215"/>
      <c r="F52" s="215"/>
    </row>
    <row r="53" spans="2:7" ht="20.100000000000001" customHeight="1" thickBot="1" x14ac:dyDescent="0.25">
      <c r="B53" s="186" t="s">
        <v>35</v>
      </c>
      <c r="C53" s="187"/>
      <c r="D53" s="187"/>
      <c r="E53" s="187"/>
      <c r="F53" s="216"/>
    </row>
    <row r="54" spans="2:7" ht="27.95" customHeight="1" x14ac:dyDescent="0.2">
      <c r="B54" s="217" t="s">
        <v>131</v>
      </c>
      <c r="C54" s="218"/>
      <c r="D54" s="218"/>
      <c r="E54" s="218"/>
      <c r="F54" s="219"/>
    </row>
    <row r="55" spans="2:7" ht="27.95" customHeight="1" thickBot="1" x14ac:dyDescent="0.25">
      <c r="B55" s="220"/>
      <c r="C55" s="221"/>
      <c r="D55" s="221"/>
      <c r="E55" s="221"/>
      <c r="F55" s="222"/>
    </row>
    <row r="56" spans="2:7" ht="9.9499999999999993" customHeight="1" x14ac:dyDescent="0.2">
      <c r="G56" s="6"/>
    </row>
    <row r="57" spans="2:7" ht="15" customHeight="1" x14ac:dyDescent="0.2">
      <c r="G57" s="6"/>
    </row>
    <row r="58" spans="2:7" ht="12.75" customHeight="1" x14ac:dyDescent="0.2"/>
    <row r="59" spans="2:7" ht="12.75" customHeight="1" x14ac:dyDescent="0.2"/>
  </sheetData>
  <mergeCells count="64">
    <mergeCell ref="B53:F53"/>
    <mergeCell ref="B54:F55"/>
    <mergeCell ref="B48:F48"/>
    <mergeCell ref="D49:E49"/>
    <mergeCell ref="B50:F50"/>
    <mergeCell ref="B51:C51"/>
    <mergeCell ref="D51:E51"/>
    <mergeCell ref="B52:F52"/>
    <mergeCell ref="B40:B47"/>
    <mergeCell ref="D40:E40"/>
    <mergeCell ref="D41:E41"/>
    <mergeCell ref="D42:E42"/>
    <mergeCell ref="D43:E43"/>
    <mergeCell ref="D44:E44"/>
    <mergeCell ref="D45:E45"/>
    <mergeCell ref="D46:E46"/>
    <mergeCell ref="D47:E47"/>
    <mergeCell ref="B39:F39"/>
    <mergeCell ref="B25:F25"/>
    <mergeCell ref="B26:B3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B19:B24"/>
    <mergeCell ref="D19:E19"/>
    <mergeCell ref="D20:E20"/>
    <mergeCell ref="D21:E21"/>
    <mergeCell ref="D22:E22"/>
    <mergeCell ref="D23:E23"/>
    <mergeCell ref="D24:E24"/>
    <mergeCell ref="B15:C15"/>
    <mergeCell ref="D15:E15"/>
    <mergeCell ref="B16:F16"/>
    <mergeCell ref="B17:F17"/>
    <mergeCell ref="B18:C18"/>
    <mergeCell ref="D18:E18"/>
    <mergeCell ref="B11:C11"/>
    <mergeCell ref="D11:E11"/>
    <mergeCell ref="B12:F12"/>
    <mergeCell ref="B13:F13"/>
    <mergeCell ref="B14:C14"/>
    <mergeCell ref="D14:E14"/>
    <mergeCell ref="B8:C8"/>
    <mergeCell ref="D8:F8"/>
    <mergeCell ref="B9:C9"/>
    <mergeCell ref="D9:F9"/>
    <mergeCell ref="B10:C10"/>
    <mergeCell ref="D10:F10"/>
    <mergeCell ref="B1:B4"/>
    <mergeCell ref="C1:E4"/>
    <mergeCell ref="F1:F4"/>
    <mergeCell ref="B6:F6"/>
    <mergeCell ref="B7:C7"/>
    <mergeCell ref="D7:F7"/>
  </mergeCells>
  <conditionalFormatting sqref="F51">
    <cfRule type="expression" dxfId="7" priority="2" stopIfTrue="1">
      <formula>$D$51=0</formula>
    </cfRule>
  </conditionalFormatting>
  <conditionalFormatting sqref="D51:E51">
    <cfRule type="cellIs" dxfId="6" priority="1" stopIfTrue="1" operator="equal">
      <formula>0</formula>
    </cfRule>
  </conditionalFormatting>
  <printOptions horizontalCentered="1"/>
  <pageMargins left="0" right="0" top="0.15748031496062992" bottom="0" header="0.23622047244094491" footer="0.31496062992125984"/>
  <pageSetup paperSize="9" scale="7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1:G59"/>
  <sheetViews>
    <sheetView workbookViewId="0">
      <selection activeCell="F22" sqref="F22"/>
    </sheetView>
  </sheetViews>
  <sheetFormatPr baseColWidth="10" defaultRowHeight="12.75" x14ac:dyDescent="0.2"/>
  <cols>
    <col min="1" max="1" width="1.7109375" customWidth="1"/>
    <col min="2" max="2" width="24.85546875" customWidth="1"/>
    <col min="3" max="3" width="46.7109375" bestFit="1" customWidth="1"/>
    <col min="5" max="5" width="18.5703125" customWidth="1"/>
    <col min="6" max="6" width="24.28515625" bestFit="1" customWidth="1"/>
  </cols>
  <sheetData>
    <row r="1" spans="2:6" ht="12.75" customHeight="1" x14ac:dyDescent="0.2">
      <c r="B1" s="150" t="s">
        <v>0</v>
      </c>
      <c r="C1" s="153" t="s">
        <v>1</v>
      </c>
      <c r="D1" s="153"/>
      <c r="E1" s="154"/>
      <c r="F1" s="159" t="s">
        <v>2</v>
      </c>
    </row>
    <row r="2" spans="2:6" ht="12.75" customHeight="1" x14ac:dyDescent="0.2">
      <c r="B2" s="151"/>
      <c r="C2" s="155"/>
      <c r="D2" s="155"/>
      <c r="E2" s="156"/>
      <c r="F2" s="160"/>
    </row>
    <row r="3" spans="2:6" ht="12.75" customHeight="1" x14ac:dyDescent="0.2">
      <c r="B3" s="151"/>
      <c r="C3" s="155"/>
      <c r="D3" s="155"/>
      <c r="E3" s="156"/>
      <c r="F3" s="160"/>
    </row>
    <row r="4" spans="2:6" ht="13.5" customHeight="1" thickBot="1" x14ac:dyDescent="0.25">
      <c r="B4" s="152"/>
      <c r="C4" s="157"/>
      <c r="D4" s="157"/>
      <c r="E4" s="158"/>
      <c r="F4" s="161"/>
    </row>
    <row r="5" spans="2:6" ht="9.9499999999999993" customHeight="1" thickBot="1" x14ac:dyDescent="0.25">
      <c r="B5" s="1"/>
      <c r="C5" s="56"/>
      <c r="D5" s="56"/>
      <c r="E5" s="56"/>
      <c r="F5" s="2"/>
    </row>
    <row r="6" spans="2:6" ht="20.100000000000001" customHeight="1" thickBot="1" x14ac:dyDescent="0.3">
      <c r="B6" s="162" t="s">
        <v>3</v>
      </c>
      <c r="C6" s="163"/>
      <c r="D6" s="163"/>
      <c r="E6" s="163"/>
      <c r="F6" s="164"/>
    </row>
    <row r="7" spans="2:6" ht="20.100000000000001" customHeight="1" x14ac:dyDescent="0.2">
      <c r="B7" s="165" t="s">
        <v>4</v>
      </c>
      <c r="C7" s="166"/>
      <c r="D7" s="167" t="s">
        <v>5</v>
      </c>
      <c r="E7" s="167"/>
      <c r="F7" s="168"/>
    </row>
    <row r="8" spans="2:6" ht="20.100000000000001" customHeight="1" x14ac:dyDescent="0.2">
      <c r="B8" s="169" t="s">
        <v>6</v>
      </c>
      <c r="C8" s="170"/>
      <c r="D8" s="171" t="s">
        <v>36</v>
      </c>
      <c r="E8" s="171"/>
      <c r="F8" s="172"/>
    </row>
    <row r="9" spans="2:6" ht="20.100000000000001" customHeight="1" x14ac:dyDescent="0.2">
      <c r="B9" s="169" t="s">
        <v>7</v>
      </c>
      <c r="C9" s="170"/>
      <c r="D9" s="171" t="s">
        <v>133</v>
      </c>
      <c r="E9" s="171"/>
      <c r="F9" s="172"/>
    </row>
    <row r="10" spans="2:6" ht="20.100000000000001" customHeight="1" x14ac:dyDescent="0.2">
      <c r="B10" s="169" t="s">
        <v>8</v>
      </c>
      <c r="C10" s="170"/>
      <c r="D10" s="173" t="s">
        <v>132</v>
      </c>
      <c r="E10" s="173"/>
      <c r="F10" s="174"/>
    </row>
    <row r="11" spans="2:6" ht="20.100000000000001" customHeight="1" thickBot="1" x14ac:dyDescent="0.25">
      <c r="B11" s="175" t="s">
        <v>9</v>
      </c>
      <c r="C11" s="176"/>
      <c r="D11" s="177">
        <v>43613</v>
      </c>
      <c r="E11" s="178"/>
      <c r="F11" s="3">
        <v>2.76</v>
      </c>
    </row>
    <row r="12" spans="2:6" ht="9.9499999999999993" customHeight="1" thickBot="1" x14ac:dyDescent="0.25">
      <c r="B12" s="179"/>
      <c r="C12" s="179"/>
      <c r="D12" s="179"/>
      <c r="E12" s="179"/>
      <c r="F12" s="179"/>
    </row>
    <row r="13" spans="2:6" ht="20.100000000000001" customHeight="1" thickBot="1" x14ac:dyDescent="0.25">
      <c r="B13" s="180" t="s">
        <v>10</v>
      </c>
      <c r="C13" s="181"/>
      <c r="D13" s="181"/>
      <c r="E13" s="181"/>
      <c r="F13" s="182"/>
    </row>
    <row r="14" spans="2:6" ht="20.100000000000001" customHeight="1" x14ac:dyDescent="0.2">
      <c r="B14" s="183" t="s">
        <v>11</v>
      </c>
      <c r="C14" s="184"/>
      <c r="D14" s="185" t="str">
        <f>F14</f>
        <v>Manon</v>
      </c>
      <c r="E14" s="185"/>
      <c r="F14" s="27" t="s">
        <v>99</v>
      </c>
    </row>
    <row r="15" spans="2:6" ht="20.100000000000001" customHeight="1" thickBot="1" x14ac:dyDescent="0.25">
      <c r="B15" s="175" t="s">
        <v>12</v>
      </c>
      <c r="C15" s="176"/>
      <c r="D15" s="177">
        <v>43615</v>
      </c>
      <c r="E15" s="177"/>
      <c r="F15" s="17" t="s">
        <v>122</v>
      </c>
    </row>
    <row r="16" spans="2:6" ht="9.9499999999999993" customHeight="1" thickBot="1" x14ac:dyDescent="0.25">
      <c r="B16" s="179"/>
      <c r="C16" s="179"/>
      <c r="D16" s="179"/>
      <c r="E16" s="179"/>
      <c r="F16" s="179"/>
    </row>
    <row r="17" spans="2:6" ht="20.100000000000001" customHeight="1" thickBot="1" x14ac:dyDescent="0.25">
      <c r="B17" s="180" t="s">
        <v>13</v>
      </c>
      <c r="C17" s="181"/>
      <c r="D17" s="181"/>
      <c r="E17" s="181"/>
      <c r="F17" s="182"/>
    </row>
    <row r="18" spans="2:6" ht="15.75" thickBot="1" x14ac:dyDescent="0.25">
      <c r="B18" s="186" t="s">
        <v>14</v>
      </c>
      <c r="C18" s="187"/>
      <c r="D18" s="187" t="s">
        <v>15</v>
      </c>
      <c r="E18" s="187"/>
      <c r="F18" s="51" t="s">
        <v>16</v>
      </c>
    </row>
    <row r="19" spans="2:6" s="4" customFormat="1" ht="24.95" customHeight="1" x14ac:dyDescent="0.2">
      <c r="B19" s="188" t="s">
        <v>17</v>
      </c>
      <c r="C19" s="55" t="s">
        <v>18</v>
      </c>
      <c r="D19" s="191">
        <v>0</v>
      </c>
      <c r="E19" s="191"/>
      <c r="F19" s="5">
        <f>+D19/D51</f>
        <v>0</v>
      </c>
    </row>
    <row r="20" spans="2:6" s="4" customFormat="1" ht="24.95" customHeight="1" x14ac:dyDescent="0.2">
      <c r="B20" s="189"/>
      <c r="C20" s="15" t="s">
        <v>19</v>
      </c>
      <c r="D20" s="192">
        <v>0</v>
      </c>
      <c r="E20" s="192"/>
      <c r="F20" s="18">
        <f>+D20/D51</f>
        <v>0</v>
      </c>
    </row>
    <row r="21" spans="2:6" s="4" customFormat="1" ht="24.95" customHeight="1" x14ac:dyDescent="0.2">
      <c r="B21" s="189"/>
      <c r="C21" s="15" t="s">
        <v>20</v>
      </c>
      <c r="D21" s="192">
        <v>1.36</v>
      </c>
      <c r="E21" s="192"/>
      <c r="F21" s="18">
        <f>+D21/D51</f>
        <v>5.5999341184221367E-3</v>
      </c>
    </row>
    <row r="22" spans="2:6" s="4" customFormat="1" ht="24.95" customHeight="1" x14ac:dyDescent="0.2">
      <c r="B22" s="189"/>
      <c r="C22" s="15" t="s">
        <v>21</v>
      </c>
      <c r="D22" s="192">
        <v>4.1399999999999997</v>
      </c>
      <c r="E22" s="192"/>
      <c r="F22" s="18">
        <f>+D22/D51</f>
        <v>1.7046858272255619E-2</v>
      </c>
    </row>
    <row r="23" spans="2:6" s="4" customFormat="1" ht="24.95" customHeight="1" x14ac:dyDescent="0.2">
      <c r="B23" s="189"/>
      <c r="C23" s="15" t="s">
        <v>22</v>
      </c>
      <c r="D23" s="192">
        <v>1</v>
      </c>
      <c r="E23" s="192"/>
      <c r="F23" s="18">
        <f>+D23/D51</f>
        <v>4.1175986164868643E-3</v>
      </c>
    </row>
    <row r="24" spans="2:6" s="4" customFormat="1" ht="24.95" customHeight="1" thickBot="1" x14ac:dyDescent="0.25">
      <c r="B24" s="190"/>
      <c r="C24" s="53" t="s">
        <v>37</v>
      </c>
      <c r="D24" s="193">
        <v>5.3</v>
      </c>
      <c r="E24" s="193"/>
      <c r="F24" s="19">
        <f>+D24/D51</f>
        <v>2.1823272667380381E-2</v>
      </c>
    </row>
    <row r="25" spans="2:6" s="4" customFormat="1" ht="13.5" thickBot="1" x14ac:dyDescent="0.25">
      <c r="B25" s="205"/>
      <c r="C25" s="206"/>
      <c r="D25" s="206"/>
      <c r="E25" s="206"/>
      <c r="F25" s="207"/>
    </row>
    <row r="26" spans="2:6" s="4" customFormat="1" ht="24.95" customHeight="1" x14ac:dyDescent="0.2">
      <c r="B26" s="194" t="s">
        <v>23</v>
      </c>
      <c r="C26" s="54" t="s">
        <v>24</v>
      </c>
      <c r="D26" s="191">
        <v>0.84</v>
      </c>
      <c r="E26" s="191"/>
      <c r="F26" s="5">
        <f>+D26/D51</f>
        <v>3.4587828378489661E-3</v>
      </c>
    </row>
    <row r="27" spans="2:6" s="4" customFormat="1" ht="24.95" customHeight="1" x14ac:dyDescent="0.2">
      <c r="B27" s="195"/>
      <c r="C27" s="42" t="s">
        <v>43</v>
      </c>
      <c r="D27" s="192">
        <f>8.32+9.38+2.4+3.1</f>
        <v>23.200000000000003</v>
      </c>
      <c r="E27" s="192"/>
      <c r="F27" s="18">
        <f>+D27/D51</f>
        <v>9.5528287902495276E-2</v>
      </c>
    </row>
    <row r="28" spans="2:6" s="4" customFormat="1" ht="24.95" customHeight="1" x14ac:dyDescent="0.2">
      <c r="B28" s="196"/>
      <c r="C28" s="42" t="s">
        <v>25</v>
      </c>
      <c r="D28" s="192">
        <f>3.46+1.22</f>
        <v>4.68</v>
      </c>
      <c r="E28" s="192"/>
      <c r="F28" s="18">
        <f>D28/D51</f>
        <v>1.9270361525158524E-2</v>
      </c>
    </row>
    <row r="29" spans="2:6" s="4" customFormat="1" ht="24.95" customHeight="1" x14ac:dyDescent="0.2">
      <c r="B29" s="196"/>
      <c r="C29" s="42" t="s">
        <v>26</v>
      </c>
      <c r="D29" s="192">
        <f>4.42+4.5+2.78+3.26</f>
        <v>14.959999999999999</v>
      </c>
      <c r="E29" s="192"/>
      <c r="F29" s="18">
        <f>D29/D51</f>
        <v>6.1599275302643489E-2</v>
      </c>
    </row>
    <row r="30" spans="2:6" s="4" customFormat="1" ht="24.95" customHeight="1" x14ac:dyDescent="0.2">
      <c r="B30" s="196"/>
      <c r="C30" s="42" t="s">
        <v>21</v>
      </c>
      <c r="D30" s="192">
        <v>0.5</v>
      </c>
      <c r="E30" s="192"/>
      <c r="F30" s="18">
        <f>D30/D51</f>
        <v>2.0587993082434321E-3</v>
      </c>
    </row>
    <row r="31" spans="2:6" s="4" customFormat="1" ht="24.95" customHeight="1" x14ac:dyDescent="0.2">
      <c r="B31" s="196"/>
      <c r="C31" s="42" t="s">
        <v>39</v>
      </c>
      <c r="D31" s="192">
        <f>6.12+9.42+4.76+4.32</f>
        <v>24.619999999999997</v>
      </c>
      <c r="E31" s="192"/>
      <c r="F31" s="18">
        <f>D31/D51</f>
        <v>0.1013752779379066</v>
      </c>
    </row>
    <row r="32" spans="2:6" s="4" customFormat="1" ht="24.95" customHeight="1" x14ac:dyDescent="0.2">
      <c r="B32" s="196"/>
      <c r="C32" s="42" t="s">
        <v>38</v>
      </c>
      <c r="D32" s="192">
        <v>4.4000000000000004</v>
      </c>
      <c r="E32" s="192"/>
      <c r="F32" s="18">
        <f>D32/D51</f>
        <v>1.8117433912542207E-2</v>
      </c>
    </row>
    <row r="33" spans="2:6" s="4" customFormat="1" ht="24.95" customHeight="1" x14ac:dyDescent="0.2">
      <c r="B33" s="196"/>
      <c r="C33" s="42" t="s">
        <v>27</v>
      </c>
      <c r="D33" s="192">
        <v>4.5599999999999996</v>
      </c>
      <c r="E33" s="192"/>
      <c r="F33" s="18">
        <f>D33/D51</f>
        <v>1.8776249691180101E-2</v>
      </c>
    </row>
    <row r="34" spans="2:6" s="4" customFormat="1" ht="24.95" customHeight="1" x14ac:dyDescent="0.2">
      <c r="B34" s="196"/>
      <c r="C34" s="43" t="s">
        <v>28</v>
      </c>
      <c r="D34" s="192">
        <f>11.34+8.22+5.32+10.5+7.96</f>
        <v>43.34</v>
      </c>
      <c r="E34" s="192"/>
      <c r="F34" s="18">
        <f>D34/D51</f>
        <v>0.17845672403854074</v>
      </c>
    </row>
    <row r="35" spans="2:6" s="4" customFormat="1" ht="24.95" customHeight="1" x14ac:dyDescent="0.2">
      <c r="B35" s="196"/>
      <c r="C35" s="43" t="s">
        <v>29</v>
      </c>
      <c r="D35" s="192">
        <f>3.8+3.4</f>
        <v>7.1999999999999993</v>
      </c>
      <c r="E35" s="192"/>
      <c r="F35" s="18">
        <f>D35/D51</f>
        <v>2.9646710038705424E-2</v>
      </c>
    </row>
    <row r="36" spans="2:6" s="4" customFormat="1" ht="24.95" customHeight="1" x14ac:dyDescent="0.2">
      <c r="B36" s="196"/>
      <c r="C36" s="43" t="s">
        <v>30</v>
      </c>
      <c r="D36" s="192">
        <f>12.1+4.22</f>
        <v>16.32</v>
      </c>
      <c r="E36" s="192"/>
      <c r="F36" s="18">
        <f>D36/D51</f>
        <v>6.7199209421065637E-2</v>
      </c>
    </row>
    <row r="37" spans="2:6" s="4" customFormat="1" ht="24.95" customHeight="1" x14ac:dyDescent="0.2">
      <c r="B37" s="196"/>
      <c r="C37" s="43" t="s">
        <v>40</v>
      </c>
      <c r="D37" s="192">
        <f>6.5+3.96+3.34</f>
        <v>13.8</v>
      </c>
      <c r="E37" s="192"/>
      <c r="F37" s="18">
        <f>D37/D51</f>
        <v>5.6822860907518737E-2</v>
      </c>
    </row>
    <row r="38" spans="2:6" s="4" customFormat="1" ht="24.95" customHeight="1" thickBot="1" x14ac:dyDescent="0.25">
      <c r="B38" s="197"/>
      <c r="C38" s="52" t="s">
        <v>41</v>
      </c>
      <c r="D38" s="193">
        <f>11.6+5.12+5.1+4.6+10.1</f>
        <v>36.520000000000003</v>
      </c>
      <c r="E38" s="193"/>
      <c r="F38" s="19">
        <f>D38/D51</f>
        <v>0.15037470147410031</v>
      </c>
    </row>
    <row r="39" spans="2:6" s="4" customFormat="1" ht="12.75" customHeight="1" thickBot="1" x14ac:dyDescent="0.25">
      <c r="B39" s="198"/>
      <c r="C39" s="199"/>
      <c r="D39" s="199"/>
      <c r="E39" s="199"/>
      <c r="F39" s="200"/>
    </row>
    <row r="40" spans="2:6" s="4" customFormat="1" ht="24.95" customHeight="1" x14ac:dyDescent="0.2">
      <c r="B40" s="208" t="s">
        <v>31</v>
      </c>
      <c r="C40" s="55" t="s">
        <v>32</v>
      </c>
      <c r="D40" s="191">
        <v>0.12</v>
      </c>
      <c r="E40" s="191"/>
      <c r="F40" s="5">
        <f>+D40/D51</f>
        <v>4.9411183397842374E-4</v>
      </c>
    </row>
    <row r="41" spans="2:6" s="4" customFormat="1" ht="24.95" customHeight="1" x14ac:dyDescent="0.2">
      <c r="B41" s="209"/>
      <c r="C41" s="16" t="s">
        <v>28</v>
      </c>
      <c r="D41" s="192">
        <v>1.34</v>
      </c>
      <c r="E41" s="192"/>
      <c r="F41" s="18">
        <f>+D41/D51</f>
        <v>5.5175821460923986E-3</v>
      </c>
    </row>
    <row r="42" spans="2:6" s="4" customFormat="1" ht="24.95" customHeight="1" x14ac:dyDescent="0.2">
      <c r="B42" s="209"/>
      <c r="C42" s="16" t="s">
        <v>30</v>
      </c>
      <c r="D42" s="192">
        <v>0.12</v>
      </c>
      <c r="E42" s="192"/>
      <c r="F42" s="18">
        <f>+D42/D51</f>
        <v>4.9411183397842374E-4</v>
      </c>
    </row>
    <row r="43" spans="2:6" s="4" customFormat="1" ht="24.95" customHeight="1" x14ac:dyDescent="0.2">
      <c r="B43" s="209"/>
      <c r="C43" s="16" t="s">
        <v>40</v>
      </c>
      <c r="D43" s="192">
        <v>0.64</v>
      </c>
      <c r="E43" s="192"/>
      <c r="F43" s="18">
        <f>+D43/D51</f>
        <v>2.6352631145515936E-3</v>
      </c>
    </row>
    <row r="44" spans="2:6" s="4" customFormat="1" ht="24.95" customHeight="1" x14ac:dyDescent="0.2">
      <c r="B44" s="209"/>
      <c r="C44" s="15" t="s">
        <v>43</v>
      </c>
      <c r="D44" s="192">
        <v>0.34</v>
      </c>
      <c r="E44" s="192"/>
      <c r="F44" s="18">
        <f>+D44/D51</f>
        <v>1.3999835296055342E-3</v>
      </c>
    </row>
    <row r="45" spans="2:6" s="4" customFormat="1" ht="24.95" customHeight="1" x14ac:dyDescent="0.2">
      <c r="B45" s="210"/>
      <c r="C45" s="26" t="s">
        <v>24</v>
      </c>
      <c r="D45" s="192">
        <v>0.26</v>
      </c>
      <c r="E45" s="192"/>
      <c r="F45" s="18">
        <f>+D45/D51</f>
        <v>1.0705756402865849E-3</v>
      </c>
    </row>
    <row r="46" spans="2:6" s="4" customFormat="1" ht="24.95" customHeight="1" x14ac:dyDescent="0.2">
      <c r="B46" s="210"/>
      <c r="C46" s="26" t="s">
        <v>39</v>
      </c>
      <c r="D46" s="192">
        <v>0.36</v>
      </c>
      <c r="E46" s="192"/>
      <c r="F46" s="18">
        <f>+D46/D51</f>
        <v>1.4823355019352711E-3</v>
      </c>
    </row>
    <row r="47" spans="2:6" s="4" customFormat="1" ht="24.95" customHeight="1" thickBot="1" x14ac:dyDescent="0.25">
      <c r="B47" s="211"/>
      <c r="C47" s="53" t="s">
        <v>44</v>
      </c>
      <c r="D47" s="193">
        <v>0.4</v>
      </c>
      <c r="E47" s="193"/>
      <c r="F47" s="19">
        <f>+D47/D51</f>
        <v>1.6470394465947459E-3</v>
      </c>
    </row>
    <row r="48" spans="2:6" s="4" customFormat="1" ht="12.75" customHeight="1" thickBot="1" x14ac:dyDescent="0.25">
      <c r="B48" s="198"/>
      <c r="C48" s="199"/>
      <c r="D48" s="199"/>
      <c r="E48" s="199"/>
      <c r="F48" s="200"/>
    </row>
    <row r="49" spans="2:7" s="4" customFormat="1" ht="24.95" customHeight="1" thickBot="1" x14ac:dyDescent="0.25">
      <c r="B49" s="24" t="s">
        <v>33</v>
      </c>
      <c r="C49" s="26" t="s">
        <v>42</v>
      </c>
      <c r="D49" s="201">
        <v>32.54</v>
      </c>
      <c r="E49" s="201"/>
      <c r="F49" s="25">
        <f>+D49/D51</f>
        <v>0.13398665898048256</v>
      </c>
    </row>
    <row r="50" spans="2:7" s="4" customFormat="1" ht="13.5" thickBot="1" x14ac:dyDescent="0.25">
      <c r="B50" s="202"/>
      <c r="C50" s="203"/>
      <c r="D50" s="203"/>
      <c r="E50" s="203"/>
      <c r="F50" s="204"/>
    </row>
    <row r="51" spans="2:7" ht="30" customHeight="1" thickBot="1" x14ac:dyDescent="0.25">
      <c r="B51" s="212" t="s">
        <v>34</v>
      </c>
      <c r="C51" s="213"/>
      <c r="D51" s="214">
        <f>D19+D20+D21+D22+D23+D24+D26+D27+D28+D29+D30+D31+D32+D33+D34+D35+D36+D37+D38+D40+D41+D42+D43+D44+D45+D46+D47+D49</f>
        <v>242.86</v>
      </c>
      <c r="E51" s="214"/>
      <c r="F51" s="20">
        <f>F19+F20+F21+F22+F23+F24+F26+F27+F28+F29+F30+F31+F32+F33+F34+F35+F36+F37+F38+F40+F41+F42+F43+F44+F45+F46+F47+F49</f>
        <v>1</v>
      </c>
    </row>
    <row r="52" spans="2:7" ht="9.75" customHeight="1" thickBot="1" x14ac:dyDescent="0.25">
      <c r="B52" s="215"/>
      <c r="C52" s="215"/>
      <c r="D52" s="215"/>
      <c r="E52" s="215"/>
      <c r="F52" s="215"/>
    </row>
    <row r="53" spans="2:7" ht="20.100000000000001" customHeight="1" thickBot="1" x14ac:dyDescent="0.25">
      <c r="B53" s="186" t="s">
        <v>35</v>
      </c>
      <c r="C53" s="187"/>
      <c r="D53" s="187"/>
      <c r="E53" s="187"/>
      <c r="F53" s="216"/>
    </row>
    <row r="54" spans="2:7" ht="27.95" customHeight="1" x14ac:dyDescent="0.2">
      <c r="B54" s="217" t="s">
        <v>134</v>
      </c>
      <c r="C54" s="218"/>
      <c r="D54" s="218"/>
      <c r="E54" s="218"/>
      <c r="F54" s="219"/>
    </row>
    <row r="55" spans="2:7" ht="27.95" customHeight="1" thickBot="1" x14ac:dyDescent="0.25">
      <c r="B55" s="220"/>
      <c r="C55" s="221"/>
      <c r="D55" s="221"/>
      <c r="E55" s="221"/>
      <c r="F55" s="222"/>
    </row>
    <row r="56" spans="2:7" ht="9.9499999999999993" customHeight="1" x14ac:dyDescent="0.2">
      <c r="G56" s="6"/>
    </row>
    <row r="57" spans="2:7" ht="15" customHeight="1" x14ac:dyDescent="0.2">
      <c r="G57" s="6"/>
    </row>
    <row r="58" spans="2:7" ht="12.75" customHeight="1" x14ac:dyDescent="0.2"/>
    <row r="59" spans="2:7" ht="12.75" customHeight="1" x14ac:dyDescent="0.2"/>
  </sheetData>
  <mergeCells count="64">
    <mergeCell ref="B53:F53"/>
    <mergeCell ref="B54:F55"/>
    <mergeCell ref="B48:F48"/>
    <mergeCell ref="D49:E49"/>
    <mergeCell ref="B50:F50"/>
    <mergeCell ref="B51:C51"/>
    <mergeCell ref="D51:E51"/>
    <mergeCell ref="B52:F52"/>
    <mergeCell ref="B40:B47"/>
    <mergeCell ref="D40:E40"/>
    <mergeCell ref="D41:E41"/>
    <mergeCell ref="D42:E42"/>
    <mergeCell ref="D43:E43"/>
    <mergeCell ref="D44:E44"/>
    <mergeCell ref="D45:E45"/>
    <mergeCell ref="D46:E46"/>
    <mergeCell ref="D47:E47"/>
    <mergeCell ref="B39:F39"/>
    <mergeCell ref="B25:F25"/>
    <mergeCell ref="B26:B3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B19:B24"/>
    <mergeCell ref="D19:E19"/>
    <mergeCell ref="D20:E20"/>
    <mergeCell ref="D21:E21"/>
    <mergeCell ref="D22:E22"/>
    <mergeCell ref="D23:E23"/>
    <mergeCell ref="D24:E24"/>
    <mergeCell ref="B15:C15"/>
    <mergeCell ref="D15:E15"/>
    <mergeCell ref="B16:F16"/>
    <mergeCell ref="B17:F17"/>
    <mergeCell ref="B18:C18"/>
    <mergeCell ref="D18:E18"/>
    <mergeCell ref="B11:C11"/>
    <mergeCell ref="D11:E11"/>
    <mergeCell ref="B12:F12"/>
    <mergeCell ref="B13:F13"/>
    <mergeCell ref="B14:C14"/>
    <mergeCell ref="D14:E14"/>
    <mergeCell ref="B8:C8"/>
    <mergeCell ref="D8:F8"/>
    <mergeCell ref="B9:C9"/>
    <mergeCell ref="D9:F9"/>
    <mergeCell ref="B10:C10"/>
    <mergeCell ref="D10:F10"/>
    <mergeCell ref="B1:B4"/>
    <mergeCell ref="C1:E4"/>
    <mergeCell ref="F1:F4"/>
    <mergeCell ref="B6:F6"/>
    <mergeCell ref="B7:C7"/>
    <mergeCell ref="D7:F7"/>
  </mergeCells>
  <conditionalFormatting sqref="F51">
    <cfRule type="expression" dxfId="5" priority="2" stopIfTrue="1">
      <formula>$D$51=0</formula>
    </cfRule>
  </conditionalFormatting>
  <conditionalFormatting sqref="D51:E51">
    <cfRule type="cellIs" dxfId="4" priority="1" stopIfTrue="1" operator="equal">
      <formula>0</formula>
    </cfRule>
  </conditionalFormatting>
  <printOptions horizontalCentered="1"/>
  <pageMargins left="0" right="0" top="0.15748031496062992" bottom="0" header="0.23622047244094491" footer="0.31496062992125984"/>
  <pageSetup paperSize="9" scale="7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14999847407452621"/>
  </sheetPr>
  <dimension ref="B1:G59"/>
  <sheetViews>
    <sheetView workbookViewId="0">
      <selection activeCell="B54" sqref="B54:F55"/>
    </sheetView>
  </sheetViews>
  <sheetFormatPr baseColWidth="10" defaultRowHeight="12.75" x14ac:dyDescent="0.2"/>
  <cols>
    <col min="1" max="1" width="1.7109375" customWidth="1"/>
    <col min="2" max="2" width="24.85546875" customWidth="1"/>
    <col min="3" max="3" width="46.7109375" bestFit="1" customWidth="1"/>
    <col min="5" max="5" width="18.5703125" customWidth="1"/>
    <col min="6" max="6" width="24.28515625" bestFit="1" customWidth="1"/>
  </cols>
  <sheetData>
    <row r="1" spans="2:6" ht="12.75" customHeight="1" x14ac:dyDescent="0.2">
      <c r="B1" s="150" t="s">
        <v>0</v>
      </c>
      <c r="C1" s="153" t="s">
        <v>1</v>
      </c>
      <c r="D1" s="153"/>
      <c r="E1" s="154"/>
      <c r="F1" s="159" t="s">
        <v>2</v>
      </c>
    </row>
    <row r="2" spans="2:6" ht="12.75" customHeight="1" x14ac:dyDescent="0.2">
      <c r="B2" s="151"/>
      <c r="C2" s="155"/>
      <c r="D2" s="155"/>
      <c r="E2" s="156"/>
      <c r="F2" s="160"/>
    </row>
    <row r="3" spans="2:6" ht="12.75" customHeight="1" x14ac:dyDescent="0.2">
      <c r="B3" s="151"/>
      <c r="C3" s="155"/>
      <c r="D3" s="155"/>
      <c r="E3" s="156"/>
      <c r="F3" s="160"/>
    </row>
    <row r="4" spans="2:6" ht="13.5" customHeight="1" thickBot="1" x14ac:dyDescent="0.25">
      <c r="B4" s="152"/>
      <c r="C4" s="157"/>
      <c r="D4" s="157"/>
      <c r="E4" s="158"/>
      <c r="F4" s="161"/>
    </row>
    <row r="5" spans="2:6" ht="9.9499999999999993" customHeight="1" thickBot="1" x14ac:dyDescent="0.25">
      <c r="B5" s="1"/>
      <c r="C5" s="56"/>
      <c r="D5" s="56"/>
      <c r="E5" s="56"/>
      <c r="F5" s="2"/>
    </row>
    <row r="6" spans="2:6" ht="20.100000000000001" customHeight="1" thickBot="1" x14ac:dyDescent="0.3">
      <c r="B6" s="162" t="s">
        <v>3</v>
      </c>
      <c r="C6" s="163"/>
      <c r="D6" s="163"/>
      <c r="E6" s="163"/>
      <c r="F6" s="164"/>
    </row>
    <row r="7" spans="2:6" ht="20.100000000000001" customHeight="1" x14ac:dyDescent="0.2">
      <c r="B7" s="165" t="s">
        <v>4</v>
      </c>
      <c r="C7" s="166"/>
      <c r="D7" s="167" t="s">
        <v>5</v>
      </c>
      <c r="E7" s="167"/>
      <c r="F7" s="168"/>
    </row>
    <row r="8" spans="2:6" ht="20.100000000000001" customHeight="1" x14ac:dyDescent="0.2">
      <c r="B8" s="169" t="s">
        <v>6</v>
      </c>
      <c r="C8" s="170"/>
      <c r="D8" s="171" t="s">
        <v>36</v>
      </c>
      <c r="E8" s="171"/>
      <c r="F8" s="172"/>
    </row>
    <row r="9" spans="2:6" ht="20.100000000000001" customHeight="1" x14ac:dyDescent="0.2">
      <c r="B9" s="169" t="s">
        <v>7</v>
      </c>
      <c r="C9" s="170"/>
      <c r="D9" s="171" t="s">
        <v>138</v>
      </c>
      <c r="E9" s="171"/>
      <c r="F9" s="172"/>
    </row>
    <row r="10" spans="2:6" ht="20.100000000000001" customHeight="1" x14ac:dyDescent="0.2">
      <c r="B10" s="169" t="s">
        <v>8</v>
      </c>
      <c r="C10" s="170"/>
      <c r="D10" s="173" t="s">
        <v>137</v>
      </c>
      <c r="E10" s="173"/>
      <c r="F10" s="174"/>
    </row>
    <row r="11" spans="2:6" ht="20.100000000000001" customHeight="1" thickBot="1" x14ac:dyDescent="0.25">
      <c r="B11" s="175" t="s">
        <v>9</v>
      </c>
      <c r="C11" s="176"/>
      <c r="D11" s="177">
        <v>43614</v>
      </c>
      <c r="E11" s="178"/>
      <c r="F11" s="3">
        <v>2.52</v>
      </c>
    </row>
    <row r="12" spans="2:6" ht="9.9499999999999993" customHeight="1" thickBot="1" x14ac:dyDescent="0.25">
      <c r="B12" s="179"/>
      <c r="C12" s="179"/>
      <c r="D12" s="179"/>
      <c r="E12" s="179"/>
      <c r="F12" s="179"/>
    </row>
    <row r="13" spans="2:6" ht="20.100000000000001" customHeight="1" thickBot="1" x14ac:dyDescent="0.25">
      <c r="B13" s="180" t="s">
        <v>10</v>
      </c>
      <c r="C13" s="181"/>
      <c r="D13" s="181"/>
      <c r="E13" s="181"/>
      <c r="F13" s="182"/>
    </row>
    <row r="14" spans="2:6" ht="20.100000000000001" customHeight="1" x14ac:dyDescent="0.2">
      <c r="B14" s="183" t="s">
        <v>11</v>
      </c>
      <c r="C14" s="184"/>
      <c r="D14" s="185" t="s">
        <v>91</v>
      </c>
      <c r="E14" s="185"/>
      <c r="F14" s="27" t="s">
        <v>99</v>
      </c>
    </row>
    <row r="15" spans="2:6" ht="20.100000000000001" customHeight="1" thickBot="1" x14ac:dyDescent="0.25">
      <c r="B15" s="175" t="s">
        <v>12</v>
      </c>
      <c r="C15" s="176"/>
      <c r="D15" s="177">
        <v>43615</v>
      </c>
      <c r="E15" s="177"/>
      <c r="F15" s="17" t="s">
        <v>139</v>
      </c>
    </row>
    <row r="16" spans="2:6" ht="9.9499999999999993" customHeight="1" thickBot="1" x14ac:dyDescent="0.25">
      <c r="B16" s="179"/>
      <c r="C16" s="179"/>
      <c r="D16" s="179"/>
      <c r="E16" s="179"/>
      <c r="F16" s="179"/>
    </row>
    <row r="17" spans="2:6" ht="20.100000000000001" customHeight="1" thickBot="1" x14ac:dyDescent="0.25">
      <c r="B17" s="180" t="s">
        <v>13</v>
      </c>
      <c r="C17" s="181"/>
      <c r="D17" s="181"/>
      <c r="E17" s="181"/>
      <c r="F17" s="182"/>
    </row>
    <row r="18" spans="2:6" ht="15.75" thickBot="1" x14ac:dyDescent="0.25">
      <c r="B18" s="186" t="s">
        <v>14</v>
      </c>
      <c r="C18" s="187"/>
      <c r="D18" s="187" t="s">
        <v>15</v>
      </c>
      <c r="E18" s="187"/>
      <c r="F18" s="51" t="s">
        <v>16</v>
      </c>
    </row>
    <row r="19" spans="2:6" s="4" customFormat="1" ht="24.95" customHeight="1" x14ac:dyDescent="0.2">
      <c r="B19" s="188" t="s">
        <v>17</v>
      </c>
      <c r="C19" s="55" t="s">
        <v>18</v>
      </c>
      <c r="D19" s="191">
        <v>0</v>
      </c>
      <c r="E19" s="191"/>
      <c r="F19" s="5">
        <f>+D19/D51</f>
        <v>0</v>
      </c>
    </row>
    <row r="20" spans="2:6" s="4" customFormat="1" ht="24.95" customHeight="1" x14ac:dyDescent="0.2">
      <c r="B20" s="189"/>
      <c r="C20" s="15" t="s">
        <v>19</v>
      </c>
      <c r="D20" s="192">
        <v>3.06</v>
      </c>
      <c r="E20" s="192"/>
      <c r="F20" s="18">
        <f>+D20/D51</f>
        <v>1.1689204675681871E-2</v>
      </c>
    </row>
    <row r="21" spans="2:6" s="4" customFormat="1" ht="24.95" customHeight="1" x14ac:dyDescent="0.2">
      <c r="B21" s="189"/>
      <c r="C21" s="15" t="s">
        <v>20</v>
      </c>
      <c r="D21" s="192">
        <v>0</v>
      </c>
      <c r="E21" s="192"/>
      <c r="F21" s="18">
        <f>+D21/D51</f>
        <v>0</v>
      </c>
    </row>
    <row r="22" spans="2:6" s="4" customFormat="1" ht="24.95" customHeight="1" x14ac:dyDescent="0.2">
      <c r="B22" s="189"/>
      <c r="C22" s="15" t="s">
        <v>21</v>
      </c>
      <c r="D22" s="192">
        <f>2.12+2.7</f>
        <v>4.82</v>
      </c>
      <c r="E22" s="192"/>
      <c r="F22" s="18">
        <f>+D22/D51</f>
        <v>1.8412407364962947E-2</v>
      </c>
    </row>
    <row r="23" spans="2:6" s="4" customFormat="1" ht="24.95" customHeight="1" x14ac:dyDescent="0.2">
      <c r="B23" s="189"/>
      <c r="C23" s="15" t="s">
        <v>22</v>
      </c>
      <c r="D23" s="192">
        <v>0</v>
      </c>
      <c r="E23" s="192"/>
      <c r="F23" s="18">
        <f>+D23/D51</f>
        <v>0</v>
      </c>
    </row>
    <row r="24" spans="2:6" s="4" customFormat="1" ht="24.95" customHeight="1" thickBot="1" x14ac:dyDescent="0.25">
      <c r="B24" s="190"/>
      <c r="C24" s="53" t="s">
        <v>37</v>
      </c>
      <c r="D24" s="193">
        <f>2.72+6.74</f>
        <v>9.4600000000000009</v>
      </c>
      <c r="E24" s="193"/>
      <c r="F24" s="19">
        <f>+D24/D51</f>
        <v>3.613721445488579E-2</v>
      </c>
    </row>
    <row r="25" spans="2:6" s="4" customFormat="1" ht="13.5" thickBot="1" x14ac:dyDescent="0.25">
      <c r="B25" s="205"/>
      <c r="C25" s="206"/>
      <c r="D25" s="206"/>
      <c r="E25" s="206"/>
      <c r="F25" s="207"/>
    </row>
    <row r="26" spans="2:6" s="4" customFormat="1" ht="24.95" customHeight="1" x14ac:dyDescent="0.2">
      <c r="B26" s="194" t="s">
        <v>23</v>
      </c>
      <c r="C26" s="54" t="s">
        <v>24</v>
      </c>
      <c r="D26" s="191">
        <f>1.22+0.62</f>
        <v>1.8399999999999999</v>
      </c>
      <c r="E26" s="191"/>
      <c r="F26" s="5">
        <f>+D26/D51</f>
        <v>7.0288028115211244E-3</v>
      </c>
    </row>
    <row r="27" spans="2:6" s="4" customFormat="1" ht="24.95" customHeight="1" x14ac:dyDescent="0.2">
      <c r="B27" s="195"/>
      <c r="C27" s="42" t="s">
        <v>43</v>
      </c>
      <c r="D27" s="192">
        <f>3.7+1.92</f>
        <v>5.62</v>
      </c>
      <c r="E27" s="192"/>
      <c r="F27" s="18">
        <f>+D27/D51</f>
        <v>2.1468408587363437E-2</v>
      </c>
    </row>
    <row r="28" spans="2:6" s="4" customFormat="1" ht="24.95" customHeight="1" x14ac:dyDescent="0.2">
      <c r="B28" s="196"/>
      <c r="C28" s="42" t="s">
        <v>25</v>
      </c>
      <c r="D28" s="192">
        <f>3.24+1.68+5.38</f>
        <v>10.3</v>
      </c>
      <c r="E28" s="192"/>
      <c r="F28" s="18">
        <f>D28/D51</f>
        <v>3.9346015738406299E-2</v>
      </c>
    </row>
    <row r="29" spans="2:6" s="4" customFormat="1" ht="24.95" customHeight="1" x14ac:dyDescent="0.2">
      <c r="B29" s="196"/>
      <c r="C29" s="42" t="s">
        <v>26</v>
      </c>
      <c r="D29" s="192">
        <f>4.38+2.82+0.8+4.86</f>
        <v>12.86</v>
      </c>
      <c r="E29" s="192"/>
      <c r="F29" s="18">
        <f>D29/D51</f>
        <v>4.9125219650087863E-2</v>
      </c>
    </row>
    <row r="30" spans="2:6" s="4" customFormat="1" ht="24.95" customHeight="1" x14ac:dyDescent="0.2">
      <c r="B30" s="196"/>
      <c r="C30" s="42" t="s">
        <v>21</v>
      </c>
      <c r="D30" s="192">
        <f>0.8+0.78</f>
        <v>1.58</v>
      </c>
      <c r="E30" s="192"/>
      <c r="F30" s="18">
        <f>D30/D51</f>
        <v>6.0356024142409663E-3</v>
      </c>
    </row>
    <row r="31" spans="2:6" s="4" customFormat="1" ht="24.95" customHeight="1" x14ac:dyDescent="0.2">
      <c r="B31" s="196"/>
      <c r="C31" s="42" t="s">
        <v>39</v>
      </c>
      <c r="D31" s="192">
        <f>7.34+5.3+3.78+3.84</f>
        <v>20.260000000000002</v>
      </c>
      <c r="E31" s="192"/>
      <c r="F31" s="18">
        <f>D31/D51</f>
        <v>7.7393230957292392E-2</v>
      </c>
    </row>
    <row r="32" spans="2:6" s="4" customFormat="1" ht="24.95" customHeight="1" x14ac:dyDescent="0.2">
      <c r="B32" s="196"/>
      <c r="C32" s="42" t="s">
        <v>38</v>
      </c>
      <c r="D32" s="192">
        <f>17.62+2.42+1.24</f>
        <v>21.279999999999998</v>
      </c>
      <c r="E32" s="192"/>
      <c r="F32" s="18">
        <f>D32/D51</f>
        <v>8.1289632515853E-2</v>
      </c>
    </row>
    <row r="33" spans="2:6" s="4" customFormat="1" ht="24.95" customHeight="1" x14ac:dyDescent="0.2">
      <c r="B33" s="196"/>
      <c r="C33" s="42" t="s">
        <v>27</v>
      </c>
      <c r="D33" s="192">
        <f>4.5+6.48</f>
        <v>10.98</v>
      </c>
      <c r="E33" s="192"/>
      <c r="F33" s="18">
        <f>D33/D51</f>
        <v>4.1943616777446714E-2</v>
      </c>
    </row>
    <row r="34" spans="2:6" s="4" customFormat="1" ht="24.95" customHeight="1" x14ac:dyDescent="0.2">
      <c r="B34" s="196"/>
      <c r="C34" s="43" t="s">
        <v>28</v>
      </c>
      <c r="D34" s="192">
        <f>6.2+10.84+5.08+7.02+2.48+6.24+14.24</f>
        <v>52.1</v>
      </c>
      <c r="E34" s="192"/>
      <c r="F34" s="18">
        <f>D34/D51</f>
        <v>0.19902207960883186</v>
      </c>
    </row>
    <row r="35" spans="2:6" s="4" customFormat="1" ht="24.95" customHeight="1" x14ac:dyDescent="0.2">
      <c r="B35" s="196"/>
      <c r="C35" s="43" t="s">
        <v>29</v>
      </c>
      <c r="D35" s="192">
        <f>1.42+1.78</f>
        <v>3.2</v>
      </c>
      <c r="E35" s="192"/>
      <c r="F35" s="18">
        <f>D35/D51</f>
        <v>1.2224004889601958E-2</v>
      </c>
    </row>
    <row r="36" spans="2:6" s="4" customFormat="1" ht="24.95" customHeight="1" x14ac:dyDescent="0.2">
      <c r="B36" s="196"/>
      <c r="C36" s="43" t="s">
        <v>30</v>
      </c>
      <c r="D36" s="192">
        <f>12.38+0.66+1.46</f>
        <v>14.5</v>
      </c>
      <c r="E36" s="192"/>
      <c r="F36" s="18">
        <f>D36/D51</f>
        <v>5.539002215600887E-2</v>
      </c>
    </row>
    <row r="37" spans="2:6" s="4" customFormat="1" ht="24.95" customHeight="1" x14ac:dyDescent="0.2">
      <c r="B37" s="196"/>
      <c r="C37" s="43" t="s">
        <v>40</v>
      </c>
      <c r="D37" s="192">
        <f>7.22+6.88+1.04</f>
        <v>15.14</v>
      </c>
      <c r="E37" s="192"/>
      <c r="F37" s="18">
        <f>D37/D51</f>
        <v>5.7834823133929264E-2</v>
      </c>
    </row>
    <row r="38" spans="2:6" s="4" customFormat="1" ht="24.95" customHeight="1" thickBot="1" x14ac:dyDescent="0.25">
      <c r="B38" s="197"/>
      <c r="C38" s="52" t="s">
        <v>41</v>
      </c>
      <c r="D38" s="193">
        <f>19.52+11.1+11.14+7.02+3.04</f>
        <v>51.82</v>
      </c>
      <c r="E38" s="193"/>
      <c r="F38" s="19">
        <f>D38/D51</f>
        <v>0.19795247918099168</v>
      </c>
    </row>
    <row r="39" spans="2:6" s="4" customFormat="1" ht="12.75" customHeight="1" thickBot="1" x14ac:dyDescent="0.25">
      <c r="B39" s="198"/>
      <c r="C39" s="199"/>
      <c r="D39" s="199"/>
      <c r="E39" s="199"/>
      <c r="F39" s="200"/>
    </row>
    <row r="40" spans="2:6" s="4" customFormat="1" ht="24.95" customHeight="1" x14ac:dyDescent="0.2">
      <c r="B40" s="208" t="s">
        <v>31</v>
      </c>
      <c r="C40" s="55" t="s">
        <v>32</v>
      </c>
      <c r="D40" s="191">
        <v>0.28000000000000003</v>
      </c>
      <c r="E40" s="191"/>
      <c r="F40" s="5">
        <f>+D40/D51</f>
        <v>1.0696004278401713E-3</v>
      </c>
    </row>
    <row r="41" spans="2:6" s="4" customFormat="1" ht="24.95" customHeight="1" x14ac:dyDescent="0.2">
      <c r="B41" s="209"/>
      <c r="C41" s="16" t="s">
        <v>28</v>
      </c>
      <c r="D41" s="192">
        <v>0.76</v>
      </c>
      <c r="E41" s="192"/>
      <c r="F41" s="18">
        <f>+D41/D51</f>
        <v>2.9032011612804649E-3</v>
      </c>
    </row>
    <row r="42" spans="2:6" s="4" customFormat="1" ht="24.95" customHeight="1" x14ac:dyDescent="0.2">
      <c r="B42" s="209"/>
      <c r="C42" s="16" t="s">
        <v>30</v>
      </c>
      <c r="D42" s="192">
        <v>0.16</v>
      </c>
      <c r="E42" s="192"/>
      <c r="F42" s="18">
        <f>+D42/D51</f>
        <v>6.1120024448009784E-4</v>
      </c>
    </row>
    <row r="43" spans="2:6" s="4" customFormat="1" ht="24.95" customHeight="1" x14ac:dyDescent="0.2">
      <c r="B43" s="209"/>
      <c r="C43" s="16" t="s">
        <v>40</v>
      </c>
      <c r="D43" s="192">
        <v>0.28000000000000003</v>
      </c>
      <c r="E43" s="192"/>
      <c r="F43" s="18">
        <f>+D43/D51</f>
        <v>1.0696004278401713E-3</v>
      </c>
    </row>
    <row r="44" spans="2:6" s="4" customFormat="1" ht="24.95" customHeight="1" x14ac:dyDescent="0.2">
      <c r="B44" s="209"/>
      <c r="C44" s="15" t="s">
        <v>43</v>
      </c>
      <c r="D44" s="192">
        <v>0.08</v>
      </c>
      <c r="E44" s="192"/>
      <c r="F44" s="18">
        <f>+D44/D51</f>
        <v>3.0560012224004892E-4</v>
      </c>
    </row>
    <row r="45" spans="2:6" s="4" customFormat="1" ht="24.95" customHeight="1" x14ac:dyDescent="0.2">
      <c r="B45" s="210"/>
      <c r="C45" s="26" t="s">
        <v>24</v>
      </c>
      <c r="D45" s="192">
        <v>0</v>
      </c>
      <c r="E45" s="192"/>
      <c r="F45" s="18">
        <f>+D45/D51</f>
        <v>0</v>
      </c>
    </row>
    <row r="46" spans="2:6" s="4" customFormat="1" ht="24.95" customHeight="1" x14ac:dyDescent="0.2">
      <c r="B46" s="210"/>
      <c r="C46" s="26" t="s">
        <v>39</v>
      </c>
      <c r="D46" s="192">
        <v>0.14000000000000001</v>
      </c>
      <c r="E46" s="192"/>
      <c r="F46" s="18">
        <f>+D46/D51</f>
        <v>5.3480021392008563E-4</v>
      </c>
    </row>
    <row r="47" spans="2:6" s="4" customFormat="1" ht="24.95" customHeight="1" thickBot="1" x14ac:dyDescent="0.25">
      <c r="B47" s="211"/>
      <c r="C47" s="53" t="s">
        <v>44</v>
      </c>
      <c r="D47" s="193">
        <v>0.1</v>
      </c>
      <c r="E47" s="193"/>
      <c r="F47" s="19">
        <f>+D47/D51</f>
        <v>3.8200015280006119E-4</v>
      </c>
    </row>
    <row r="48" spans="2:6" s="4" customFormat="1" ht="12.75" customHeight="1" thickBot="1" x14ac:dyDescent="0.25">
      <c r="B48" s="198"/>
      <c r="C48" s="199"/>
      <c r="D48" s="199"/>
      <c r="E48" s="199"/>
      <c r="F48" s="200"/>
    </row>
    <row r="49" spans="2:7" s="4" customFormat="1" ht="24.95" customHeight="1" thickBot="1" x14ac:dyDescent="0.25">
      <c r="B49" s="24" t="s">
        <v>33</v>
      </c>
      <c r="C49" s="26" t="s">
        <v>42</v>
      </c>
      <c r="D49" s="201">
        <f>11.72+9.44</f>
        <v>21.16</v>
      </c>
      <c r="E49" s="201"/>
      <c r="F49" s="25">
        <f>+D49/D51</f>
        <v>8.0831232332492939E-2</v>
      </c>
    </row>
    <row r="50" spans="2:7" s="4" customFormat="1" ht="13.5" thickBot="1" x14ac:dyDescent="0.25">
      <c r="B50" s="202"/>
      <c r="C50" s="203"/>
      <c r="D50" s="203"/>
      <c r="E50" s="203"/>
      <c r="F50" s="204"/>
    </row>
    <row r="51" spans="2:7" ht="30" customHeight="1" thickBot="1" x14ac:dyDescent="0.25">
      <c r="B51" s="212" t="s">
        <v>34</v>
      </c>
      <c r="C51" s="213"/>
      <c r="D51" s="214">
        <f>D19+D20+D21+D22+D23+D24+D26+D27+D28+D29+D30+D31+D32+D33+D34+D35+D36+D37+D38+D40+D41+D42+D43+D44+D45+D46+D47+D49</f>
        <v>261.77999999999997</v>
      </c>
      <c r="E51" s="214"/>
      <c r="F51" s="20">
        <f>F19+F20+F21+F22+F23+F24+F26+F27+F28+F29+F30+F31+F32+F33+F34+F35+F36+F37+F38+F40+F41+F42+F43+F44+F45+F46+F47+F49</f>
        <v>1.0000000000000002</v>
      </c>
    </row>
    <row r="52" spans="2:7" ht="9.75" customHeight="1" thickBot="1" x14ac:dyDescent="0.25">
      <c r="B52" s="215"/>
      <c r="C52" s="215"/>
      <c r="D52" s="215"/>
      <c r="E52" s="215"/>
      <c r="F52" s="215"/>
    </row>
    <row r="53" spans="2:7" ht="20.100000000000001" customHeight="1" thickBot="1" x14ac:dyDescent="0.25">
      <c r="B53" s="186" t="s">
        <v>35</v>
      </c>
      <c r="C53" s="187"/>
      <c r="D53" s="187"/>
      <c r="E53" s="187"/>
      <c r="F53" s="216"/>
    </row>
    <row r="54" spans="2:7" ht="27.95" customHeight="1" x14ac:dyDescent="0.2">
      <c r="B54" s="217" t="s">
        <v>140</v>
      </c>
      <c r="C54" s="218"/>
      <c r="D54" s="218"/>
      <c r="E54" s="218"/>
      <c r="F54" s="219"/>
    </row>
    <row r="55" spans="2:7" ht="27.95" customHeight="1" thickBot="1" x14ac:dyDescent="0.25">
      <c r="B55" s="220"/>
      <c r="C55" s="221"/>
      <c r="D55" s="221"/>
      <c r="E55" s="221"/>
      <c r="F55" s="222"/>
    </row>
    <row r="56" spans="2:7" ht="9.9499999999999993" customHeight="1" x14ac:dyDescent="0.2">
      <c r="G56" s="6"/>
    </row>
    <row r="57" spans="2:7" ht="15" customHeight="1" x14ac:dyDescent="0.2">
      <c r="G57" s="6"/>
    </row>
    <row r="58" spans="2:7" ht="12.75" customHeight="1" x14ac:dyDescent="0.2"/>
    <row r="59" spans="2:7" ht="12.75" customHeight="1" x14ac:dyDescent="0.2"/>
  </sheetData>
  <mergeCells count="64">
    <mergeCell ref="B53:F53"/>
    <mergeCell ref="B54:F55"/>
    <mergeCell ref="B48:F48"/>
    <mergeCell ref="D49:E49"/>
    <mergeCell ref="B50:F50"/>
    <mergeCell ref="B51:C51"/>
    <mergeCell ref="D51:E51"/>
    <mergeCell ref="B52:F52"/>
    <mergeCell ref="B40:B47"/>
    <mergeCell ref="D40:E40"/>
    <mergeCell ref="D41:E41"/>
    <mergeCell ref="D42:E42"/>
    <mergeCell ref="D43:E43"/>
    <mergeCell ref="D44:E44"/>
    <mergeCell ref="D45:E45"/>
    <mergeCell ref="D46:E46"/>
    <mergeCell ref="D47:E47"/>
    <mergeCell ref="B39:F39"/>
    <mergeCell ref="B25:F25"/>
    <mergeCell ref="B26:B3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B19:B24"/>
    <mergeCell ref="D19:E19"/>
    <mergeCell ref="D20:E20"/>
    <mergeCell ref="D21:E21"/>
    <mergeCell ref="D22:E22"/>
    <mergeCell ref="D23:E23"/>
    <mergeCell ref="D24:E24"/>
    <mergeCell ref="B15:C15"/>
    <mergeCell ref="D15:E15"/>
    <mergeCell ref="B16:F16"/>
    <mergeCell ref="B17:F17"/>
    <mergeCell ref="B18:C18"/>
    <mergeCell ref="D18:E18"/>
    <mergeCell ref="B11:C11"/>
    <mergeCell ref="D11:E11"/>
    <mergeCell ref="B12:F12"/>
    <mergeCell ref="B13:F13"/>
    <mergeCell ref="B14:C14"/>
    <mergeCell ref="D14:E14"/>
    <mergeCell ref="B8:C8"/>
    <mergeCell ref="D8:F8"/>
    <mergeCell ref="B9:C9"/>
    <mergeCell ref="D9:F9"/>
    <mergeCell ref="B10:C10"/>
    <mergeCell ref="D10:F10"/>
    <mergeCell ref="B1:B4"/>
    <mergeCell ref="C1:E4"/>
    <mergeCell ref="F1:F4"/>
    <mergeCell ref="B6:F6"/>
    <mergeCell ref="B7:C7"/>
    <mergeCell ref="D7:F7"/>
  </mergeCells>
  <conditionalFormatting sqref="F51">
    <cfRule type="expression" dxfId="3" priority="2" stopIfTrue="1">
      <formula>$D$51=0</formula>
    </cfRule>
  </conditionalFormatting>
  <conditionalFormatting sqref="D51:E51">
    <cfRule type="cellIs" dxfId="2" priority="1" stopIfTrue="1" operator="equal">
      <formula>0</formula>
    </cfRule>
  </conditionalFormatting>
  <printOptions horizontalCentered="1"/>
  <pageMargins left="0" right="0" top="0.15748031496062992" bottom="0" header="0.23622047244094491" footer="0.31496062992125984"/>
  <pageSetup paperSize="9" scale="7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FF"/>
  </sheetPr>
  <dimension ref="B1:G59"/>
  <sheetViews>
    <sheetView topLeftCell="A34" workbookViewId="0">
      <selection activeCell="B54" sqref="B54:F55"/>
    </sheetView>
  </sheetViews>
  <sheetFormatPr baseColWidth="10" defaultRowHeight="12.75" x14ac:dyDescent="0.2"/>
  <cols>
    <col min="1" max="1" width="1.7109375" customWidth="1"/>
    <col min="2" max="2" width="24.85546875" customWidth="1"/>
    <col min="3" max="3" width="46.7109375" bestFit="1" customWidth="1"/>
    <col min="5" max="5" width="18.5703125" customWidth="1"/>
    <col min="6" max="6" width="24.28515625" bestFit="1" customWidth="1"/>
  </cols>
  <sheetData>
    <row r="1" spans="2:6" ht="12.75" customHeight="1" x14ac:dyDescent="0.2">
      <c r="B1" s="150" t="s">
        <v>0</v>
      </c>
      <c r="C1" s="153" t="s">
        <v>1</v>
      </c>
      <c r="D1" s="153"/>
      <c r="E1" s="154"/>
      <c r="F1" s="159" t="s">
        <v>2</v>
      </c>
    </row>
    <row r="2" spans="2:6" ht="12.75" customHeight="1" x14ac:dyDescent="0.2">
      <c r="B2" s="151"/>
      <c r="C2" s="155"/>
      <c r="D2" s="155"/>
      <c r="E2" s="156"/>
      <c r="F2" s="160"/>
    </row>
    <row r="3" spans="2:6" ht="12.75" customHeight="1" x14ac:dyDescent="0.2">
      <c r="B3" s="151"/>
      <c r="C3" s="155"/>
      <c r="D3" s="155"/>
      <c r="E3" s="156"/>
      <c r="F3" s="160"/>
    </row>
    <row r="4" spans="2:6" ht="13.5" customHeight="1" thickBot="1" x14ac:dyDescent="0.25">
      <c r="B4" s="152"/>
      <c r="C4" s="157"/>
      <c r="D4" s="157"/>
      <c r="E4" s="158"/>
      <c r="F4" s="161"/>
    </row>
    <row r="5" spans="2:6" ht="9.9499999999999993" customHeight="1" thickBot="1" x14ac:dyDescent="0.25">
      <c r="B5" s="1"/>
      <c r="C5" s="56"/>
      <c r="D5" s="56"/>
      <c r="E5" s="56"/>
      <c r="F5" s="2"/>
    </row>
    <row r="6" spans="2:6" ht="20.100000000000001" customHeight="1" thickBot="1" x14ac:dyDescent="0.3">
      <c r="B6" s="162" t="s">
        <v>3</v>
      </c>
      <c r="C6" s="163"/>
      <c r="D6" s="163"/>
      <c r="E6" s="163"/>
      <c r="F6" s="164"/>
    </row>
    <row r="7" spans="2:6" ht="20.100000000000001" customHeight="1" x14ac:dyDescent="0.2">
      <c r="B7" s="165" t="s">
        <v>4</v>
      </c>
      <c r="C7" s="166"/>
      <c r="D7" s="167" t="s">
        <v>5</v>
      </c>
      <c r="E7" s="167"/>
      <c r="F7" s="168"/>
    </row>
    <row r="8" spans="2:6" ht="20.100000000000001" customHeight="1" x14ac:dyDescent="0.2">
      <c r="B8" s="169" t="s">
        <v>6</v>
      </c>
      <c r="C8" s="170"/>
      <c r="D8" s="171" t="s">
        <v>36</v>
      </c>
      <c r="E8" s="171"/>
      <c r="F8" s="172"/>
    </row>
    <row r="9" spans="2:6" ht="20.100000000000001" customHeight="1" x14ac:dyDescent="0.2">
      <c r="B9" s="169" t="s">
        <v>7</v>
      </c>
      <c r="C9" s="170"/>
      <c r="D9" s="171" t="s">
        <v>146</v>
      </c>
      <c r="E9" s="171"/>
      <c r="F9" s="172"/>
    </row>
    <row r="10" spans="2:6" ht="20.100000000000001" customHeight="1" x14ac:dyDescent="0.2">
      <c r="B10" s="169" t="s">
        <v>8</v>
      </c>
      <c r="C10" s="170"/>
      <c r="D10" s="173" t="s">
        <v>148</v>
      </c>
      <c r="E10" s="173"/>
      <c r="F10" s="174"/>
    </row>
    <row r="11" spans="2:6" ht="20.100000000000001" customHeight="1" thickBot="1" x14ac:dyDescent="0.25">
      <c r="B11" s="175" t="s">
        <v>9</v>
      </c>
      <c r="C11" s="176"/>
      <c r="D11" s="177">
        <v>43615</v>
      </c>
      <c r="E11" s="178"/>
      <c r="F11" s="3">
        <v>7.4</v>
      </c>
    </row>
    <row r="12" spans="2:6" ht="9.9499999999999993" customHeight="1" thickBot="1" x14ac:dyDescent="0.25">
      <c r="B12" s="179"/>
      <c r="C12" s="179"/>
      <c r="D12" s="179"/>
      <c r="E12" s="179"/>
      <c r="F12" s="179"/>
    </row>
    <row r="13" spans="2:6" ht="20.100000000000001" customHeight="1" thickBot="1" x14ac:dyDescent="0.25">
      <c r="B13" s="180" t="s">
        <v>10</v>
      </c>
      <c r="C13" s="181"/>
      <c r="D13" s="181"/>
      <c r="E13" s="181"/>
      <c r="F13" s="182"/>
    </row>
    <row r="14" spans="2:6" ht="20.100000000000001" customHeight="1" x14ac:dyDescent="0.2">
      <c r="B14" s="183" t="s">
        <v>11</v>
      </c>
      <c r="C14" s="184"/>
      <c r="D14" s="185" t="s">
        <v>91</v>
      </c>
      <c r="E14" s="185"/>
      <c r="F14" s="27" t="s">
        <v>99</v>
      </c>
    </row>
    <row r="15" spans="2:6" ht="20.100000000000001" customHeight="1" thickBot="1" x14ac:dyDescent="0.25">
      <c r="B15" s="175" t="s">
        <v>12</v>
      </c>
      <c r="C15" s="176"/>
      <c r="D15" s="177">
        <v>43616</v>
      </c>
      <c r="E15" s="177"/>
      <c r="F15" s="17" t="s">
        <v>149</v>
      </c>
    </row>
    <row r="16" spans="2:6" ht="9.9499999999999993" customHeight="1" thickBot="1" x14ac:dyDescent="0.25">
      <c r="B16" s="179"/>
      <c r="C16" s="179"/>
      <c r="D16" s="179"/>
      <c r="E16" s="179"/>
      <c r="F16" s="179"/>
    </row>
    <row r="17" spans="2:6" ht="20.100000000000001" customHeight="1" thickBot="1" x14ac:dyDescent="0.25">
      <c r="B17" s="180" t="s">
        <v>13</v>
      </c>
      <c r="C17" s="181"/>
      <c r="D17" s="181"/>
      <c r="E17" s="181"/>
      <c r="F17" s="182"/>
    </row>
    <row r="18" spans="2:6" ht="15.75" thickBot="1" x14ac:dyDescent="0.25">
      <c r="B18" s="186" t="s">
        <v>14</v>
      </c>
      <c r="C18" s="187"/>
      <c r="D18" s="187" t="s">
        <v>15</v>
      </c>
      <c r="E18" s="187"/>
      <c r="F18" s="51" t="s">
        <v>16</v>
      </c>
    </row>
    <row r="19" spans="2:6" s="4" customFormat="1" ht="24.95" customHeight="1" x14ac:dyDescent="0.2">
      <c r="B19" s="188" t="s">
        <v>17</v>
      </c>
      <c r="C19" s="55" t="s">
        <v>18</v>
      </c>
      <c r="D19" s="191">
        <v>0</v>
      </c>
      <c r="E19" s="191"/>
      <c r="F19" s="5">
        <f>+D19/D51</f>
        <v>0</v>
      </c>
    </row>
    <row r="20" spans="2:6" s="4" customFormat="1" ht="24.95" customHeight="1" x14ac:dyDescent="0.2">
      <c r="B20" s="189"/>
      <c r="C20" s="15" t="s">
        <v>19</v>
      </c>
      <c r="D20" s="192">
        <v>0</v>
      </c>
      <c r="E20" s="192"/>
      <c r="F20" s="18">
        <f>+D20/D51</f>
        <v>0</v>
      </c>
    </row>
    <row r="21" spans="2:6" s="4" customFormat="1" ht="24.95" customHeight="1" x14ac:dyDescent="0.2">
      <c r="B21" s="189"/>
      <c r="C21" s="15" t="s">
        <v>20</v>
      </c>
      <c r="D21" s="192">
        <v>0</v>
      </c>
      <c r="E21" s="192"/>
      <c r="F21" s="18">
        <f>+D21/D51</f>
        <v>0</v>
      </c>
    </row>
    <row r="22" spans="2:6" s="4" customFormat="1" ht="24.95" customHeight="1" x14ac:dyDescent="0.2">
      <c r="B22" s="189"/>
      <c r="C22" s="15" t="s">
        <v>21</v>
      </c>
      <c r="D22" s="192">
        <v>0</v>
      </c>
      <c r="E22" s="192"/>
      <c r="F22" s="18">
        <f>+D22/D51</f>
        <v>0</v>
      </c>
    </row>
    <row r="23" spans="2:6" s="4" customFormat="1" ht="24.95" customHeight="1" x14ac:dyDescent="0.2">
      <c r="B23" s="189"/>
      <c r="C23" s="15" t="s">
        <v>22</v>
      </c>
      <c r="D23" s="192">
        <v>0</v>
      </c>
      <c r="E23" s="192"/>
      <c r="F23" s="18">
        <f>+D23/D51</f>
        <v>0</v>
      </c>
    </row>
    <row r="24" spans="2:6" s="4" customFormat="1" ht="24.95" customHeight="1" thickBot="1" x14ac:dyDescent="0.25">
      <c r="B24" s="190"/>
      <c r="C24" s="53" t="s">
        <v>37</v>
      </c>
      <c r="D24" s="193">
        <f>6.9+4.72+6.26</f>
        <v>17.880000000000003</v>
      </c>
      <c r="E24" s="193"/>
      <c r="F24" s="19">
        <f>+D24/D51</f>
        <v>6.6893636125556516E-2</v>
      </c>
    </row>
    <row r="25" spans="2:6" s="4" customFormat="1" ht="13.5" thickBot="1" x14ac:dyDescent="0.25">
      <c r="B25" s="205"/>
      <c r="C25" s="206"/>
      <c r="D25" s="206"/>
      <c r="E25" s="206"/>
      <c r="F25" s="207"/>
    </row>
    <row r="26" spans="2:6" s="4" customFormat="1" ht="24.95" customHeight="1" x14ac:dyDescent="0.2">
      <c r="B26" s="194" t="s">
        <v>23</v>
      </c>
      <c r="C26" s="54" t="s">
        <v>24</v>
      </c>
      <c r="D26" s="191">
        <v>0</v>
      </c>
      <c r="E26" s="191"/>
      <c r="F26" s="5">
        <f>+D26/D51</f>
        <v>0</v>
      </c>
    </row>
    <row r="27" spans="2:6" s="4" customFormat="1" ht="24.95" customHeight="1" x14ac:dyDescent="0.2">
      <c r="B27" s="195"/>
      <c r="C27" s="42" t="s">
        <v>43</v>
      </c>
      <c r="D27" s="192">
        <f>6.12+6.68+3.84+1.1</f>
        <v>17.740000000000002</v>
      </c>
      <c r="E27" s="192"/>
      <c r="F27" s="18">
        <f>+D27/D51</f>
        <v>6.6369860451195334E-2</v>
      </c>
    </row>
    <row r="28" spans="2:6" s="4" customFormat="1" ht="24.95" customHeight="1" x14ac:dyDescent="0.2">
      <c r="B28" s="196"/>
      <c r="C28" s="42" t="s">
        <v>25</v>
      </c>
      <c r="D28" s="192">
        <f>1.9+6.22+2</f>
        <v>10.119999999999999</v>
      </c>
      <c r="E28" s="192"/>
      <c r="F28" s="18">
        <f>D28/D51</f>
        <v>3.7861498746679628E-2</v>
      </c>
    </row>
    <row r="29" spans="2:6" s="4" customFormat="1" ht="24.95" customHeight="1" x14ac:dyDescent="0.2">
      <c r="B29" s="196"/>
      <c r="C29" s="42" t="s">
        <v>26</v>
      </c>
      <c r="D29" s="192">
        <f>3.74+4.78+5.1+0.86</f>
        <v>14.479999999999999</v>
      </c>
      <c r="E29" s="192"/>
      <c r="F29" s="18">
        <f>D29/D51</f>
        <v>5.4173369748213539E-2</v>
      </c>
    </row>
    <row r="30" spans="2:6" s="4" customFormat="1" ht="24.95" customHeight="1" x14ac:dyDescent="0.2">
      <c r="B30" s="196"/>
      <c r="C30" s="42" t="s">
        <v>21</v>
      </c>
      <c r="D30" s="192">
        <v>1.26</v>
      </c>
      <c r="E30" s="192"/>
      <c r="F30" s="18">
        <f>D30/D51</f>
        <v>4.713981069250626E-3</v>
      </c>
    </row>
    <row r="31" spans="2:6" s="4" customFormat="1" ht="24.95" customHeight="1" x14ac:dyDescent="0.2">
      <c r="B31" s="196"/>
      <c r="C31" s="42" t="s">
        <v>39</v>
      </c>
      <c r="D31" s="192">
        <f>7.28+3.54+7.92+7.06+6.88+6.7</f>
        <v>39.380000000000003</v>
      </c>
      <c r="E31" s="192"/>
      <c r="F31" s="18">
        <f>D31/D51</f>
        <v>0.14733061468816641</v>
      </c>
    </row>
    <row r="32" spans="2:6" s="4" customFormat="1" ht="24.95" customHeight="1" x14ac:dyDescent="0.2">
      <c r="B32" s="196"/>
      <c r="C32" s="42" t="s">
        <v>38</v>
      </c>
      <c r="D32" s="192">
        <v>3.24</v>
      </c>
      <c r="E32" s="192"/>
      <c r="F32" s="18">
        <f>D32/D51</f>
        <v>1.2121665606644469E-2</v>
      </c>
    </row>
    <row r="33" spans="2:6" s="4" customFormat="1" ht="24.95" customHeight="1" x14ac:dyDescent="0.2">
      <c r="B33" s="196"/>
      <c r="C33" s="42" t="s">
        <v>27</v>
      </c>
      <c r="D33" s="192">
        <v>6.66</v>
      </c>
      <c r="E33" s="192"/>
      <c r="F33" s="18">
        <f>D33/D51</f>
        <v>2.4916757080324741E-2</v>
      </c>
    </row>
    <row r="34" spans="2:6" s="4" customFormat="1" ht="24.95" customHeight="1" x14ac:dyDescent="0.2">
      <c r="B34" s="196"/>
      <c r="C34" s="43" t="s">
        <v>28</v>
      </c>
      <c r="D34" s="192">
        <f>9.66+12.02+14.54+12.08+8.96</f>
        <v>57.26</v>
      </c>
      <c r="E34" s="192"/>
      <c r="F34" s="18">
        <f>D34/D51</f>
        <v>0.2142242508137229</v>
      </c>
    </row>
    <row r="35" spans="2:6" s="4" customFormat="1" ht="24.95" customHeight="1" x14ac:dyDescent="0.2">
      <c r="B35" s="196"/>
      <c r="C35" s="43" t="s">
        <v>29</v>
      </c>
      <c r="D35" s="192">
        <v>2.34</v>
      </c>
      <c r="E35" s="192"/>
      <c r="F35" s="18">
        <f>D35/D51</f>
        <v>8.7545362714654476E-3</v>
      </c>
    </row>
    <row r="36" spans="2:6" s="4" customFormat="1" ht="24.95" customHeight="1" x14ac:dyDescent="0.2">
      <c r="B36" s="196"/>
      <c r="C36" s="43" t="s">
        <v>30</v>
      </c>
      <c r="D36" s="192">
        <f>15.78+2.3</f>
        <v>18.079999999999998</v>
      </c>
      <c r="E36" s="192"/>
      <c r="F36" s="18">
        <f>D36/D51</f>
        <v>6.7641887088929611E-2</v>
      </c>
    </row>
    <row r="37" spans="2:6" s="4" customFormat="1" ht="24.95" customHeight="1" x14ac:dyDescent="0.2">
      <c r="B37" s="196"/>
      <c r="C37" s="43" t="s">
        <v>40</v>
      </c>
      <c r="D37" s="192">
        <f>3.98+4.36</f>
        <v>8.34</v>
      </c>
      <c r="E37" s="192"/>
      <c r="F37" s="18">
        <f>D37/D51</f>
        <v>3.1202065172658906E-2</v>
      </c>
    </row>
    <row r="38" spans="2:6" s="4" customFormat="1" ht="24.95" customHeight="1" thickBot="1" x14ac:dyDescent="0.25">
      <c r="B38" s="197"/>
      <c r="C38" s="52" t="s">
        <v>41</v>
      </c>
      <c r="D38" s="193">
        <f>3.62+3.38+5.7+5.75+4.6+7.16+12+5.76</f>
        <v>47.969999999999992</v>
      </c>
      <c r="E38" s="193"/>
      <c r="F38" s="19">
        <f>D38/D51</f>
        <v>0.17946799356504167</v>
      </c>
    </row>
    <row r="39" spans="2:6" s="4" customFormat="1" ht="12.75" customHeight="1" thickBot="1" x14ac:dyDescent="0.25">
      <c r="B39" s="198"/>
      <c r="C39" s="199"/>
      <c r="D39" s="199"/>
      <c r="E39" s="199"/>
      <c r="F39" s="200"/>
    </row>
    <row r="40" spans="2:6" s="4" customFormat="1" ht="24.95" customHeight="1" x14ac:dyDescent="0.2">
      <c r="B40" s="208" t="s">
        <v>31</v>
      </c>
      <c r="C40" s="55" t="s">
        <v>32</v>
      </c>
      <c r="D40" s="191">
        <v>0.24</v>
      </c>
      <c r="E40" s="191"/>
      <c r="F40" s="5">
        <f>+D40/D51</f>
        <v>8.9790115604773831E-4</v>
      </c>
    </row>
    <row r="41" spans="2:6" s="4" customFormat="1" ht="24.95" customHeight="1" x14ac:dyDescent="0.2">
      <c r="B41" s="209"/>
      <c r="C41" s="16" t="s">
        <v>28</v>
      </c>
      <c r="D41" s="192">
        <v>1.66</v>
      </c>
      <c r="E41" s="192"/>
      <c r="F41" s="18">
        <f>+D41/D51</f>
        <v>6.2104829959968568E-3</v>
      </c>
    </row>
    <row r="42" spans="2:6" s="4" customFormat="1" ht="24.95" customHeight="1" x14ac:dyDescent="0.2">
      <c r="B42" s="209"/>
      <c r="C42" s="16" t="s">
        <v>30</v>
      </c>
      <c r="D42" s="192">
        <v>2.72</v>
      </c>
      <c r="E42" s="192"/>
      <c r="F42" s="18">
        <f>+D42/D51</f>
        <v>1.0176213101874368E-2</v>
      </c>
    </row>
    <row r="43" spans="2:6" s="4" customFormat="1" ht="24.95" customHeight="1" x14ac:dyDescent="0.2">
      <c r="B43" s="209"/>
      <c r="C43" s="16" t="s">
        <v>40</v>
      </c>
      <c r="D43" s="192">
        <v>1.08</v>
      </c>
      <c r="E43" s="192"/>
      <c r="F43" s="18">
        <f>+D43/D51</f>
        <v>4.0405552022148225E-3</v>
      </c>
    </row>
    <row r="44" spans="2:6" s="4" customFormat="1" ht="24.95" customHeight="1" x14ac:dyDescent="0.2">
      <c r="B44" s="209"/>
      <c r="C44" s="15" t="s">
        <v>43</v>
      </c>
      <c r="D44" s="192">
        <v>0.28000000000000003</v>
      </c>
      <c r="E44" s="192"/>
      <c r="F44" s="18">
        <f>+D44/D51</f>
        <v>1.0475513487223614E-3</v>
      </c>
    </row>
    <row r="45" spans="2:6" s="4" customFormat="1" ht="24.95" customHeight="1" x14ac:dyDescent="0.2">
      <c r="B45" s="210"/>
      <c r="C45" s="26" t="s">
        <v>24</v>
      </c>
      <c r="D45" s="192">
        <v>0</v>
      </c>
      <c r="E45" s="192"/>
      <c r="F45" s="18">
        <f>+D45/D51</f>
        <v>0</v>
      </c>
    </row>
    <row r="46" spans="2:6" s="4" customFormat="1" ht="24.95" customHeight="1" x14ac:dyDescent="0.2">
      <c r="B46" s="210"/>
      <c r="C46" s="26" t="s">
        <v>39</v>
      </c>
      <c r="D46" s="192">
        <v>0.57999999999999996</v>
      </c>
      <c r="E46" s="192"/>
      <c r="F46" s="18">
        <f>+D46/D51</f>
        <v>2.1699277937820343E-3</v>
      </c>
    </row>
    <row r="47" spans="2:6" s="4" customFormat="1" ht="24.95" customHeight="1" thickBot="1" x14ac:dyDescent="0.25">
      <c r="B47" s="211"/>
      <c r="C47" s="53" t="s">
        <v>44</v>
      </c>
      <c r="D47" s="193">
        <v>0.54</v>
      </c>
      <c r="E47" s="193"/>
      <c r="F47" s="19">
        <f>+D47/D51</f>
        <v>2.0202776011074113E-3</v>
      </c>
    </row>
    <row r="48" spans="2:6" s="4" customFormat="1" ht="12.75" customHeight="1" thickBot="1" x14ac:dyDescent="0.25">
      <c r="B48" s="198"/>
      <c r="C48" s="199"/>
      <c r="D48" s="199"/>
      <c r="E48" s="199"/>
      <c r="F48" s="200"/>
    </row>
    <row r="49" spans="2:7" s="4" customFormat="1" ht="24.95" customHeight="1" thickBot="1" x14ac:dyDescent="0.25">
      <c r="B49" s="24" t="s">
        <v>33</v>
      </c>
      <c r="C49" s="26" t="s">
        <v>42</v>
      </c>
      <c r="D49" s="227">
        <v>15.44</v>
      </c>
      <c r="E49" s="227"/>
      <c r="F49" s="25">
        <f>+D49/D51</f>
        <v>5.77649743724045E-2</v>
      </c>
    </row>
    <row r="50" spans="2:7" s="4" customFormat="1" ht="13.5" thickBot="1" x14ac:dyDescent="0.25">
      <c r="B50" s="202"/>
      <c r="C50" s="203"/>
      <c r="D50" s="203"/>
      <c r="E50" s="203"/>
      <c r="F50" s="204"/>
    </row>
    <row r="51" spans="2:7" ht="30" customHeight="1" thickBot="1" x14ac:dyDescent="0.25">
      <c r="B51" s="212" t="s">
        <v>34</v>
      </c>
      <c r="C51" s="213"/>
      <c r="D51" s="214">
        <f>D19+D20+D21+D22+D23+D24+D26+D27+D28+D29+D30+D31+D32+D33+D34+D35+D36+D37+D38+D40+D41+D42+D43+D44+D45+D46+D47+D49</f>
        <v>267.29000000000002</v>
      </c>
      <c r="E51" s="214"/>
      <c r="F51" s="20">
        <f>F19+F20+F21+F22+F23+F24+F26+F27+F28+F29+F30+F31+F32+F33+F34+F35+F36+F37+F38+F40+F41+F42+F43+F44+F45+F46+F47+F49</f>
        <v>0.99999999999999978</v>
      </c>
    </row>
    <row r="52" spans="2:7" ht="9.75" customHeight="1" thickBot="1" x14ac:dyDescent="0.25">
      <c r="B52" s="215"/>
      <c r="C52" s="215"/>
      <c r="D52" s="215"/>
      <c r="E52" s="215"/>
      <c r="F52" s="215"/>
    </row>
    <row r="53" spans="2:7" ht="20.100000000000001" customHeight="1" thickBot="1" x14ac:dyDescent="0.25">
      <c r="B53" s="186" t="s">
        <v>35</v>
      </c>
      <c r="C53" s="187"/>
      <c r="D53" s="187"/>
      <c r="E53" s="187"/>
      <c r="F53" s="216"/>
    </row>
    <row r="54" spans="2:7" ht="27.95" customHeight="1" x14ac:dyDescent="0.2">
      <c r="B54" s="217" t="s">
        <v>150</v>
      </c>
      <c r="C54" s="218"/>
      <c r="D54" s="218"/>
      <c r="E54" s="218"/>
      <c r="F54" s="219"/>
    </row>
    <row r="55" spans="2:7" ht="27.95" customHeight="1" thickBot="1" x14ac:dyDescent="0.25">
      <c r="B55" s="220"/>
      <c r="C55" s="221"/>
      <c r="D55" s="221"/>
      <c r="E55" s="221"/>
      <c r="F55" s="222"/>
    </row>
    <row r="56" spans="2:7" ht="9.9499999999999993" customHeight="1" x14ac:dyDescent="0.2">
      <c r="G56" s="6"/>
    </row>
    <row r="57" spans="2:7" ht="15" customHeight="1" x14ac:dyDescent="0.2">
      <c r="G57" s="6"/>
    </row>
    <row r="58" spans="2:7" ht="12.75" customHeight="1" x14ac:dyDescent="0.2"/>
    <row r="59" spans="2:7" ht="12.75" customHeight="1" x14ac:dyDescent="0.2"/>
  </sheetData>
  <mergeCells count="64">
    <mergeCell ref="B53:F53"/>
    <mergeCell ref="B54:F55"/>
    <mergeCell ref="B48:F48"/>
    <mergeCell ref="D49:E49"/>
    <mergeCell ref="B50:F50"/>
    <mergeCell ref="B51:C51"/>
    <mergeCell ref="D51:E51"/>
    <mergeCell ref="B52:F52"/>
    <mergeCell ref="B40:B47"/>
    <mergeCell ref="D40:E40"/>
    <mergeCell ref="D41:E41"/>
    <mergeCell ref="D42:E42"/>
    <mergeCell ref="D43:E43"/>
    <mergeCell ref="D44:E44"/>
    <mergeCell ref="D45:E45"/>
    <mergeCell ref="D46:E46"/>
    <mergeCell ref="D47:E47"/>
    <mergeCell ref="B39:F39"/>
    <mergeCell ref="B25:F25"/>
    <mergeCell ref="B26:B3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B19:B24"/>
    <mergeCell ref="D19:E19"/>
    <mergeCell ref="D20:E20"/>
    <mergeCell ref="D21:E21"/>
    <mergeCell ref="D22:E22"/>
    <mergeCell ref="D23:E23"/>
    <mergeCell ref="D24:E24"/>
    <mergeCell ref="B15:C15"/>
    <mergeCell ref="D15:E15"/>
    <mergeCell ref="B16:F16"/>
    <mergeCell ref="B17:F17"/>
    <mergeCell ref="B18:C18"/>
    <mergeCell ref="D18:E18"/>
    <mergeCell ref="B11:C11"/>
    <mergeCell ref="D11:E11"/>
    <mergeCell ref="B12:F12"/>
    <mergeCell ref="B13:F13"/>
    <mergeCell ref="B14:C14"/>
    <mergeCell ref="D14:E14"/>
    <mergeCell ref="B8:C8"/>
    <mergeCell ref="D8:F8"/>
    <mergeCell ref="B9:C9"/>
    <mergeCell ref="D9:F9"/>
    <mergeCell ref="B10:C10"/>
    <mergeCell ref="D10:F10"/>
    <mergeCell ref="B1:B4"/>
    <mergeCell ref="C1:E4"/>
    <mergeCell ref="F1:F4"/>
    <mergeCell ref="B6:F6"/>
    <mergeCell ref="B7:C7"/>
    <mergeCell ref="D7:F7"/>
  </mergeCells>
  <conditionalFormatting sqref="F51">
    <cfRule type="expression" dxfId="1" priority="2" stopIfTrue="1">
      <formula>$D$51=0</formula>
    </cfRule>
  </conditionalFormatting>
  <conditionalFormatting sqref="D51:E51">
    <cfRule type="cellIs" dxfId="0" priority="1" stopIfTrue="1" operator="equal">
      <formula>0</formula>
    </cfRule>
  </conditionalFormatting>
  <printOptions horizontalCentered="1"/>
  <pageMargins left="0" right="0" top="0.15748031496062992" bottom="0" header="0.23622047244094491" footer="0.31496062992125984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Tabelau Fraction</vt:lpstr>
      <vt:lpstr>Tableau Synthèse</vt:lpstr>
      <vt:lpstr>TRAME CAD</vt:lpstr>
      <vt:lpstr>Les Arcs sur Argens</vt:lpstr>
      <vt:lpstr>Draguignan  Bleu A1</vt:lpstr>
      <vt:lpstr>Trans en Provence Ext</vt:lpstr>
      <vt:lpstr>Draguignan Vert-Rouge</vt:lpstr>
      <vt:lpstr>Salernes Ext</vt:lpstr>
      <vt:lpstr>Lorgues</vt:lpstr>
      <vt:lpstr>Flayosc</vt:lpstr>
      <vt:lpstr>Draguignan Rouge A1</vt:lpstr>
      <vt:lpstr>Vidauban</vt:lpstr>
      <vt:lpstr>'Draguignan  Bleu A1'!Zone_d_impression</vt:lpstr>
      <vt:lpstr>'Draguignan Rouge A1'!Zone_d_impression</vt:lpstr>
      <vt:lpstr>'Draguignan Vert-Rouge'!Zone_d_impression</vt:lpstr>
      <vt:lpstr>Flayosc!Zone_d_impression</vt:lpstr>
      <vt:lpstr>'Les Arcs sur Argens'!Zone_d_impression</vt:lpstr>
      <vt:lpstr>Lorgues!Zone_d_impression</vt:lpstr>
      <vt:lpstr>'Salernes Ext'!Zone_d_impression</vt:lpstr>
      <vt:lpstr>'Tabelau Fraction'!Zone_d_impression</vt:lpstr>
      <vt:lpstr>'Tableau Synthèse'!Zone_d_impression</vt:lpstr>
      <vt:lpstr>'TRAME CAD'!Zone_d_impression</vt:lpstr>
      <vt:lpstr>'Trans en Provence Ext'!Zone_d_impression</vt:lpstr>
      <vt:lpstr>Vidauban!Zone_d_impression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Roumenteau</dc:creator>
  <cp:lastModifiedBy>Jurez</cp:lastModifiedBy>
  <cp:lastPrinted>2019-07-15T14:14:01Z</cp:lastPrinted>
  <dcterms:created xsi:type="dcterms:W3CDTF">2016-02-19T16:47:29Z</dcterms:created>
  <dcterms:modified xsi:type="dcterms:W3CDTF">2020-10-19T07:22:40Z</dcterms:modified>
</cp:coreProperties>
</file>